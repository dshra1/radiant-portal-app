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 works 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5C63"/>
      </patternFill>
    </fill>
    <fill>
      <patternFill patternType="solid">
        <fgColor rgb="00E8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wrapText="1"/>
    </xf>
    <xf numFmtId="0" fontId="3" fillId="3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wrapText="1"/>
    </xf>
    <xf numFmtId="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52" customWidth="1" min="2" max="2"/>
    <col width="60" customWidth="1" min="3" max="3"/>
    <col width="10" customWidth="1" min="4" max="4"/>
    <col width="8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77:76 Cyber Enclave · Common works BOQ (as presented)</t>
        </is>
      </c>
    </row>
    <row r="2">
      <c r="A2" t="inlineStr">
        <is>
          <t>Prepared by SAHA Developers (PMC). Quantities are PMC take-offs from the drawings for checking by the owners' architects; rates at today's market; amounts before GST unless marked. Updated 19 Oct 2026.</t>
        </is>
      </c>
    </row>
    <row r="4">
      <c r="A4" s="2" t="inlineStr">
        <is>
          <t>Code</t>
        </is>
      </c>
      <c r="B4" s="2" t="inlineStr">
        <is>
          <t>Item</t>
        </is>
      </c>
      <c r="C4" s="2" t="inlineStr">
        <is>
          <t>Specification / make / measurement basis</t>
        </is>
      </c>
      <c r="D4" s="2" t="inlineStr">
        <is>
          <t>Qty</t>
        </is>
      </c>
      <c r="E4" s="2" t="inlineStr">
        <is>
          <t>Unit</t>
        </is>
      </c>
      <c r="F4" s="2" t="inlineStr">
        <is>
          <t>Rate (₹, before GST)</t>
        </is>
      </c>
      <c r="G4" s="2" t="inlineStr">
        <is>
          <t>Amount (₹, before GST)</t>
        </is>
      </c>
      <c r="H4" s="2" t="inlineStr">
        <is>
          <t>Amount incl. GST (₹)</t>
        </is>
      </c>
    </row>
    <row r="5">
      <c r="A5" s="3" t="inlineStr">
        <is>
          <t>Site set-up, supervision, approvals and consultants</t>
        </is>
      </c>
      <c r="B5" s="4" t="n"/>
      <c r="C5" s="4" t="n"/>
      <c r="D5" s="4" t="n"/>
      <c r="E5" s="4" t="n"/>
      <c r="F5" s="4" t="n"/>
      <c r="G5" s="4" t="n"/>
      <c r="H5" s="4" t="n"/>
    </row>
    <row r="6">
      <c r="A6" t="inlineStr">
        <is>
          <t>SE01</t>
        </is>
      </c>
      <c r="B6" s="5" t="inlineStr">
        <is>
          <t>Watch and ward, 18 months</t>
        </is>
      </c>
      <c r="C6" s="5" t="n"/>
      <c r="D6" s="6" t="n">
        <v>18</v>
      </c>
      <c r="E6" t="inlineStr">
        <is>
          <t>month</t>
        </is>
      </c>
      <c r="F6" s="6" t="n">
        <v>25000</v>
      </c>
      <c r="G6" s="7">
        <f>D6*F6</f>
        <v/>
      </c>
      <c r="H6" s="7">
        <f>G6*(1+0.18)</f>
        <v/>
      </c>
    </row>
    <row r="7">
      <c r="A7" t="inlineStr">
        <is>
          <t>SE02</t>
        </is>
      </c>
      <c r="B7" s="5" t="inlineStr">
        <is>
          <t>Contractor's all-risk insurance</t>
        </is>
      </c>
      <c r="C7" s="5" t="n"/>
      <c r="D7" s="6" t="n">
        <v>1</v>
      </c>
      <c r="E7" t="inlineStr">
        <is>
          <t>LS</t>
        </is>
      </c>
      <c r="F7" s="6" t="n">
        <v>120000</v>
      </c>
      <c r="G7" s="7">
        <f>D7*F7</f>
        <v/>
      </c>
      <c r="H7" s="7">
        <f>G7*(1+0.18)</f>
        <v/>
      </c>
    </row>
    <row r="8">
      <c r="A8" t="inlineStr">
        <is>
          <t>SE03</t>
        </is>
      </c>
      <c r="B8" s="5" t="inlineStr">
        <is>
          <t>Testing: cube tests, steel, soil compaction, AAC blocks</t>
        </is>
      </c>
      <c r="C8" s="5" t="inlineStr">
        <is>
          <t>NABL lab</t>
        </is>
      </c>
      <c r="D8" s="6" t="n">
        <v>1</v>
      </c>
      <c r="E8" t="inlineStr">
        <is>
          <t>LS</t>
        </is>
      </c>
      <c r="F8" s="6" t="n">
        <v>150000</v>
      </c>
      <c r="G8" s="7">
        <f>D8*F8</f>
        <v/>
      </c>
      <c r="H8" s="7">
        <f>G8*(1+0.18)</f>
        <v/>
      </c>
    </row>
    <row r="9">
      <c r="A9" t="inlineStr">
        <is>
          <t>SE04</t>
        </is>
      </c>
      <c r="B9" s="5" t="inlineStr">
        <is>
          <t>Temporary water and power during construction</t>
        </is>
      </c>
      <c r="C9" s="5" t="n"/>
      <c r="D9" s="6" t="n">
        <v>1</v>
      </c>
      <c r="E9" t="inlineStr">
        <is>
          <t>LS</t>
        </is>
      </c>
      <c r="F9" s="6" t="n">
        <v>200000</v>
      </c>
      <c r="G9" s="7">
        <f>D9*F9</f>
        <v/>
      </c>
      <c r="H9" s="7">
        <f>G9*(1+0.18)</f>
        <v/>
      </c>
    </row>
    <row r="10">
      <c r="A10" t="inlineStr">
        <is>
          <t>SE05</t>
        </is>
      </c>
      <c r="B10" s="5" t="inlineStr">
        <is>
          <t>Site office, store, labour hutments, barricading</t>
        </is>
      </c>
      <c r="C10" s="5" t="n"/>
      <c r="D10" s="6" t="n">
        <v>1</v>
      </c>
      <c r="E10" t="inlineStr">
        <is>
          <t>LS</t>
        </is>
      </c>
      <c r="F10" s="6" t="n">
        <v>150000</v>
      </c>
      <c r="G10" s="7">
        <f>D10*F10</f>
        <v/>
      </c>
      <c r="H10" s="7">
        <f>G10*(1+0.18)</f>
        <v/>
      </c>
    </row>
    <row r="11">
      <c r="A11" t="inlineStr">
        <is>
          <t>SE06</t>
        </is>
      </c>
      <c r="B11" s="5" t="inlineStr">
        <is>
          <t>Debris removal and final cleaning</t>
        </is>
      </c>
      <c r="C11" s="5" t="n"/>
      <c r="D11" s="6" t="n">
        <v>1</v>
      </c>
      <c r="E11" t="inlineStr">
        <is>
          <t>LS</t>
        </is>
      </c>
      <c r="F11" s="6" t="n">
        <v>80000</v>
      </c>
      <c r="G11" s="7">
        <f>D11*F11</f>
        <v/>
      </c>
      <c r="H11" s="7">
        <f>G11*(1+0.18)</f>
        <v/>
      </c>
    </row>
    <row r="12">
      <c r="A12" t="inlineStr">
        <is>
          <t>SE07</t>
        </is>
      </c>
      <c r="B12" s="5" t="inlineStr">
        <is>
          <t>Site clearing, levelling and setting out</t>
        </is>
      </c>
      <c r="C12" s="5" t="inlineStr">
        <is>
          <t>Before excavation</t>
        </is>
      </c>
      <c r="D12" s="6" t="n">
        <v>1</v>
      </c>
      <c r="E12" t="inlineStr">
        <is>
          <t>LS</t>
        </is>
      </c>
      <c r="F12" s="6" t="n">
        <v>50000</v>
      </c>
      <c r="G12" s="7">
        <f>D12*F12</f>
        <v/>
      </c>
      <c r="H12" s="7">
        <f>G12*(1+0.18)</f>
        <v/>
      </c>
    </row>
    <row r="13">
      <c r="A13" t="inlineStr">
        <is>
          <t>SE08</t>
        </is>
      </c>
      <c r="B13" s="5" t="inlineStr">
        <is>
          <t>Site engineer and supervisor, 18 months</t>
        </is>
      </c>
      <c r="C13" s="5" t="inlineStr">
        <is>
          <t>Remove if the PMC / builder's own staff cover it</t>
        </is>
      </c>
      <c r="D13" s="6" t="n">
        <v>18</v>
      </c>
      <c r="E13" t="inlineStr">
        <is>
          <t>month</t>
        </is>
      </c>
      <c r="F13" s="6" t="n">
        <v>90000</v>
      </c>
      <c r="G13" s="7">
        <f>D13*F13</f>
        <v/>
      </c>
      <c r="H13" s="7">
        <f>G13*(1+0.18)</f>
        <v/>
      </c>
    </row>
    <row r="14">
      <c r="A14" t="inlineStr">
        <is>
          <t>SE09</t>
        </is>
      </c>
      <c r="B14" s="5" t="inlineStr">
        <is>
          <t>Plant and tools: mixer, vibrators, material hoist, cup-lock scaffold hire, water pumps</t>
        </is>
      </c>
      <c r="C14" s="5" t="n"/>
      <c r="D14" s="6" t="n">
        <v>1</v>
      </c>
      <c r="E14" t="inlineStr">
        <is>
          <t>LS</t>
        </is>
      </c>
      <c r="F14" s="6" t="n">
        <v>300000</v>
      </c>
      <c r="G14" s="7">
        <f>D14*F14</f>
        <v/>
      </c>
      <c r="H14" s="7">
        <f>G14*(1+0.18)</f>
        <v/>
      </c>
    </row>
    <row r="15">
      <c r="A15" t="inlineStr">
        <is>
          <t>SE10</t>
        </is>
      </c>
      <c r="B15" s="5" t="inlineStr">
        <is>
          <t>Safety: PPE, safety nets, edge protection, first aid, signage</t>
        </is>
      </c>
      <c r="C15" s="5" t="n"/>
      <c r="D15" s="6" t="n">
        <v>1</v>
      </c>
      <c r="E15" t="inlineStr">
        <is>
          <t>LS</t>
        </is>
      </c>
      <c r="F15" s="6" t="n">
        <v>100000</v>
      </c>
      <c r="G15" s="7">
        <f>D15*F15</f>
        <v/>
      </c>
      <c r="H15" s="7">
        <f>G15*(1+0.18)</f>
        <v/>
      </c>
    </row>
    <row r="16">
      <c r="A16" t="inlineStr">
        <is>
          <t>SE11</t>
        </is>
      </c>
      <c r="B16" s="5" t="inlineStr">
        <is>
          <t>Construction power and water consumption (bills, tankers), 18 months</t>
        </is>
      </c>
      <c r="C16" s="5" t="inlineStr">
        <is>
          <t>Connections are in SE04</t>
        </is>
      </c>
      <c r="D16" s="6" t="n">
        <v>18</v>
      </c>
      <c r="E16" t="inlineStr">
        <is>
          <t>month</t>
        </is>
      </c>
      <c r="F16" s="6" t="n">
        <v>15000</v>
      </c>
      <c r="G16" s="7">
        <f>D16*F16</f>
        <v/>
      </c>
      <c r="H16" s="7">
        <f>G16*(1+0.18)</f>
        <v/>
      </c>
    </row>
    <row r="17">
      <c r="A17" t="inlineStr">
        <is>
          <t>AP01</t>
        </is>
      </c>
      <c r="B17" s="5" t="inlineStr">
        <is>
          <t>GHMC building permission: permit fee, development and betterment charges, environment impact fee, RWH deposit, TG-bPASS and GIS charges</t>
        </is>
      </c>
      <c r="C17" s="5" t="inlineStr">
        <is>
          <t>Built-up ≈ 2,280 m² (5 floors + stilt + headroom)</t>
        </is>
      </c>
      <c r="D17" s="6" t="n">
        <v>1</v>
      </c>
      <c r="E17" t="inlineStr">
        <is>
          <t>LS</t>
        </is>
      </c>
      <c r="F17" s="6" t="n">
        <v>600000</v>
      </c>
      <c r="G17" s="7">
        <f>D17*F17</f>
        <v/>
      </c>
      <c r="H17" s="7">
        <f>G17*(1+0.0)</f>
        <v/>
      </c>
    </row>
    <row r="18">
      <c r="A18" t="inlineStr">
        <is>
          <t>AP02</t>
        </is>
      </c>
      <c r="B18" s="5" t="inlineStr">
        <is>
          <t>City-level infrastructure impact fee (if levied for this plot and road)</t>
        </is>
      </c>
      <c r="C18" s="5" t="n"/>
      <c r="D18" s="6" t="n">
        <v>1</v>
      </c>
      <c r="E18" t="inlineStr">
        <is>
          <t>LS</t>
        </is>
      </c>
      <c r="F18" s="6" t="n">
        <v>300000</v>
      </c>
      <c r="G18" s="7">
        <f>D18*F18</f>
        <v/>
      </c>
      <c r="H18" s="7">
        <f>G18*(1+0.0)</f>
        <v/>
      </c>
    </row>
    <row r="19">
      <c r="A19" t="inlineStr">
        <is>
          <t>AP03</t>
        </is>
      </c>
      <c r="B19" s="5" t="inlineStr">
        <is>
          <t>Labour cess 1% of the cost of construction (BOCW Act)</t>
        </is>
      </c>
      <c r="C19" s="5" t="inlineStr">
        <is>
          <t>GHMC collects it with the permit, on its own notional cost</t>
        </is>
      </c>
      <c r="D19" s="6" t="n">
        <v>1</v>
      </c>
      <c r="E19" t="inlineStr">
        <is>
          <t>LS</t>
        </is>
      </c>
      <c r="F19" s="6" t="n">
        <v>625000</v>
      </c>
      <c r="G19" s="7">
        <f>D19*F19</f>
        <v/>
      </c>
      <c r="H19" s="7">
        <f>G19*(1+0.0)</f>
        <v/>
      </c>
    </row>
    <row r="20">
      <c r="A20" t="inlineStr">
        <is>
          <t>AP04</t>
        </is>
      </c>
      <c r="B20" s="5" t="inlineStr">
        <is>
          <t>HMWSSB water and sewer connection charges (apartment)</t>
        </is>
      </c>
      <c r="C20" s="5" t="n"/>
      <c r="D20" s="6" t="n">
        <v>1</v>
      </c>
      <c r="E20" t="inlineStr">
        <is>
          <t>LS</t>
        </is>
      </c>
      <c r="F20" s="6" t="n">
        <v>300000</v>
      </c>
      <c r="G20" s="7">
        <f>D20*F20</f>
        <v/>
      </c>
      <c r="H20" s="7">
        <f>G20*(1+0.0)</f>
        <v/>
      </c>
    </row>
    <row r="21">
      <c r="A21" t="inlineStr">
        <is>
          <t>AP05</t>
        </is>
      </c>
      <c r="B21" s="5" t="inlineStr">
        <is>
          <t>TSSPDCL service connection, development charges and security deposit (10 flats + common)</t>
        </is>
      </c>
      <c r="C21" s="5" t="n"/>
      <c r="D21" s="6" t="n">
        <v>1</v>
      </c>
      <c r="E21" t="inlineStr">
        <is>
          <t>LS</t>
        </is>
      </c>
      <c r="F21" s="6" t="n">
        <v>300000</v>
      </c>
      <c r="G21" s="7">
        <f>D21*F21</f>
        <v/>
      </c>
      <c r="H21" s="7">
        <f>G21*(1+0.0)</f>
        <v/>
      </c>
    </row>
    <row r="22">
      <c r="A22" t="inlineStr">
        <is>
          <t>AP06</t>
        </is>
      </c>
      <c r="B22" s="5" t="inlineStr">
        <is>
          <t>Occupancy certificate, fire / structural certificates, RERA registration and misc. fees</t>
        </is>
      </c>
      <c r="C22" s="5" t="n"/>
      <c r="D22" s="6" t="n">
        <v>1</v>
      </c>
      <c r="E22" t="inlineStr">
        <is>
          <t>LS</t>
        </is>
      </c>
      <c r="F22" s="6" t="n">
        <v>100000</v>
      </c>
      <c r="G22" s="7">
        <f>D22*F22</f>
        <v/>
      </c>
      <c r="H22" s="7">
        <f>G22*(1+0.0)</f>
        <v/>
      </c>
    </row>
    <row r="23">
      <c r="A23" t="inlineStr">
        <is>
          <t>CN01</t>
        </is>
      </c>
      <c r="B23" s="5" t="inlineStr">
        <is>
          <t>Structural design and drawings, incl. site visits</t>
        </is>
      </c>
      <c r="C23" s="5" t="inlineStr">
        <is>
          <t>On the A113/A114 scheme</t>
        </is>
      </c>
      <c r="D23" s="6" t="n">
        <v>1</v>
      </c>
      <c r="E23" t="inlineStr">
        <is>
          <t>LS</t>
        </is>
      </c>
      <c r="F23" s="6" t="n">
        <v>240000</v>
      </c>
      <c r="G23" s="7">
        <f>D23*F23</f>
        <v/>
      </c>
      <c r="H23" s="7">
        <f>G23*(1+0.18)</f>
        <v/>
      </c>
    </row>
    <row r="24">
      <c r="A24" t="inlineStr">
        <is>
          <t>CN02</t>
        </is>
      </c>
      <c r="B24" s="5" t="inlineStr">
        <is>
          <t>MEP consultant (electrical load, TSSPDCL, plumbing design)</t>
        </is>
      </c>
      <c r="C24" s="5" t="n"/>
      <c r="D24" s="6" t="n">
        <v>1</v>
      </c>
      <c r="E24" t="inlineStr">
        <is>
          <t>LS</t>
        </is>
      </c>
      <c r="F24" s="6" t="n">
        <v>150000</v>
      </c>
      <c r="G24" s="7">
        <f>D24*F24</f>
        <v/>
      </c>
      <c r="H24" s="7">
        <f>G24*(1+0.18)</f>
        <v/>
      </c>
    </row>
    <row r="25">
      <c r="A25" t="inlineStr">
        <is>
          <t>CN03</t>
        </is>
      </c>
      <c r="B25" s="5" t="inlineStr">
        <is>
          <t>Soil investigation, 3 boreholes with SPT to ≈ 6 m and report</t>
        </is>
      </c>
      <c r="C25" s="5" t="inlineStr">
        <is>
          <t>Needed before the footings (D-74)</t>
        </is>
      </c>
      <c r="D25" s="6" t="n">
        <v>1</v>
      </c>
      <c r="E25" t="inlineStr">
        <is>
          <t>LS</t>
        </is>
      </c>
      <c r="F25" s="6" t="n">
        <v>60000</v>
      </c>
      <c r="G25" s="7">
        <f>D25*F25</f>
        <v/>
      </c>
      <c r="H25" s="7">
        <f>G25*(1+0.18)</f>
        <v/>
      </c>
    </row>
    <row r="26">
      <c r="A26" t="inlineStr">
        <is>
          <t>CN04</t>
        </is>
      </c>
      <c r="B26" s="5" t="inlineStr">
        <is>
          <t>Level survey of the plot and both roads, ≈ 10′ grid</t>
        </is>
      </c>
      <c r="C26" s="5" t="inlineStr">
        <is>
          <t>Needed for the stilt level, fill and ramps (D-75)</t>
        </is>
      </c>
      <c r="D26" s="6" t="n">
        <v>1</v>
      </c>
      <c r="E26" t="inlineStr">
        <is>
          <t>LS</t>
        </is>
      </c>
      <c r="F26" s="6" t="n">
        <v>25000</v>
      </c>
      <c r="G26" s="7">
        <f>D26*F26</f>
        <v/>
      </c>
      <c r="H26" s="7">
        <f>G26*(1+0.18)</f>
        <v/>
      </c>
    </row>
    <row r="27">
      <c r="A27" t="inlineStr">
        <is>
          <t>CN05</t>
        </is>
      </c>
      <c r="B27" s="5" t="inlineStr">
        <is>
          <t>As-built drawings (set)</t>
        </is>
      </c>
      <c r="C27" s="5" t="n"/>
      <c r="D27" s="6" t="n">
        <v>1</v>
      </c>
      <c r="E27" t="inlineStr">
        <is>
          <t>LS</t>
        </is>
      </c>
      <c r="F27" s="6" t="n">
        <v>78000</v>
      </c>
      <c r="G27" s="7">
        <f>D27*F27</f>
        <v/>
      </c>
      <c r="H27" s="7">
        <f>G27*(1+0.18)</f>
        <v/>
      </c>
    </row>
    <row r="28">
      <c r="A28" t="inlineStr">
        <is>
          <t>PV02</t>
        </is>
      </c>
      <c r="B28" s="5" t="inlineStr">
        <is>
          <t>Fill under the stilt and setbacks to the raised stilt floor (1′–4′), murrum compacted in 150 mm layers</t>
        </is>
      </c>
      <c r="C28" s="5" t="inlineStr">
        <is>
          <t>≈ 552 m³ if the ground follows the road (726 m² × 0.76 m average)</t>
        </is>
      </c>
      <c r="D28" s="6" t="n">
        <v>551.76</v>
      </c>
      <c r="E28" t="inlineStr">
        <is>
          <t>m³</t>
        </is>
      </c>
      <c r="F28" s="6" t="n">
        <v>1100</v>
      </c>
      <c r="G28" s="7">
        <f>D28*F28</f>
        <v/>
      </c>
      <c r="H28" s="7">
        <f>G28*(1+0.18)</f>
        <v/>
      </c>
    </row>
    <row r="29">
      <c r="A29" t="inlineStr">
        <is>
          <t>PV03</t>
        </is>
      </c>
      <c r="B29" s="5" t="inlineStr">
        <is>
          <t>Compound wall as a retaining wall on the east / NE where up to 4′ of fill is held</t>
        </is>
      </c>
      <c r="C29" s="5" t="inlineStr">
        <is>
          <t>RCC cantilever, weep holes</t>
        </is>
      </c>
      <c r="D29" s="6" t="n">
        <v>60</v>
      </c>
      <c r="E29" t="inlineStr">
        <is>
          <t>rft</t>
        </is>
      </c>
      <c r="F29" s="6" t="n">
        <v>2500</v>
      </c>
      <c r="G29" s="7">
        <f>D29*F29</f>
        <v/>
      </c>
      <c r="H29" s="7">
        <f>G29*(1+0.18)</f>
        <v/>
      </c>
    </row>
    <row r="30">
      <c r="A30" t="inlineStr">
        <is>
          <t>PV04</t>
        </is>
      </c>
      <c r="B30" s="5" t="inlineStr">
        <is>
          <t>Entry hump and exit ramp, grated trench drains at both gates</t>
        </is>
      </c>
      <c r="C30" s="5" t="n"/>
      <c r="D30" s="6" t="n">
        <v>1</v>
      </c>
      <c r="E30" t="inlineStr">
        <is>
          <t>LS</t>
        </is>
      </c>
      <c r="F30" s="6" t="n">
        <v>150000</v>
      </c>
      <c r="G30" s="7">
        <f>D30*F30</f>
        <v/>
      </c>
      <c r="H30" s="7">
        <f>G30*(1+0.18)</f>
        <v/>
      </c>
    </row>
    <row r="31">
      <c r="B31" s="8" t="inlineStr">
        <is>
          <t>Sub-total · Site set-up, supervision, approvals and consultants</t>
        </is>
      </c>
      <c r="G31" s="9">
        <f>SUM(G6:G30)</f>
        <v/>
      </c>
      <c r="H31" s="9">
        <f>SUM(H6:H30)</f>
        <v/>
      </c>
    </row>
    <row r="33">
      <c r="A33" s="3" t="inlineStr">
        <is>
          <t>Structure: foundations, columns, beams, slabs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t="inlineStr">
        <is>
          <t>ST01</t>
        </is>
      </c>
      <c r="B34" s="5" t="inlineStr">
        <is>
          <t>Excavation for footings, plinth beams and sump</t>
        </is>
      </c>
      <c r="C34" s="5" t="inlineStr">
        <is>
          <t>In soil / soft rock incl. dewatering; hard rock extra at quoted rate</t>
        </is>
      </c>
      <c r="D34" s="6" t="n">
        <v>595.6</v>
      </c>
      <c r="E34" t="inlineStr">
        <is>
          <t>m³</t>
        </is>
      </c>
      <c r="F34" s="6" t="n">
        <v>350</v>
      </c>
      <c r="G34" s="7">
        <f>D34*F34</f>
        <v/>
      </c>
      <c r="H34" s="7">
        <f>G34*(1+0.18)</f>
        <v/>
      </c>
    </row>
    <row r="35">
      <c r="A35" t="inlineStr">
        <is>
          <t>ST02</t>
        </is>
      </c>
      <c r="B35" s="5" t="inlineStr">
        <is>
          <t>Backfill with excavated earth, compacted in layers</t>
        </is>
      </c>
      <c r="C35" s="5" t="inlineStr">
        <is>
          <t>200 mm layers, watered and rammed</t>
        </is>
      </c>
      <c r="D35" s="6" t="n">
        <v>352.3</v>
      </c>
      <c r="E35" t="inlineStr">
        <is>
          <t>m³</t>
        </is>
      </c>
      <c r="F35" s="6" t="n">
        <v>150</v>
      </c>
      <c r="G35" s="7">
        <f>D35*F35</f>
        <v/>
      </c>
      <c r="H35" s="7">
        <f>G35*(1+0.18)</f>
        <v/>
      </c>
    </row>
    <row r="36">
      <c r="A36" t="inlineStr">
        <is>
          <t>ST02a</t>
        </is>
      </c>
      <c r="B36" s="5" t="inlineStr">
        <is>
          <t>Disposal / stacking of surplus excavated earth (excavation less backfill)</t>
        </is>
      </c>
      <c r="C36" s="5" t="inlineStr">
        <is>
          <t>Reuse as fill where tested; else cart away</t>
        </is>
      </c>
      <c r="D36" s="6" t="n">
        <v>243.3</v>
      </c>
      <c r="E36" t="inlineStr">
        <is>
          <t>m³</t>
        </is>
      </c>
      <c r="F36" s="6" t="n">
        <v>350</v>
      </c>
      <c r="G36" s="7">
        <f>D36*F36</f>
        <v/>
      </c>
      <c r="H36" s="7">
        <f>G36*(1+0.18)</f>
        <v/>
      </c>
    </row>
    <row r="37">
      <c r="A37" t="inlineStr">
        <is>
          <t>ST02b</t>
        </is>
      </c>
      <c r="B37" s="5" t="inlineStr">
        <is>
          <t>Sand cushion 50 mm under the footing PCC</t>
        </is>
      </c>
      <c r="C37" s="5" t="n"/>
      <c r="D37" s="6" t="n">
        <v>8.289999999999999</v>
      </c>
      <c r="E37" t="inlineStr">
        <is>
          <t>m³</t>
        </is>
      </c>
      <c r="F37" s="6" t="n">
        <v>1940</v>
      </c>
      <c r="G37" s="7">
        <f>D37*F37</f>
        <v/>
      </c>
      <c r="H37" s="7">
        <f>G37*(1+0.1799)</f>
        <v/>
      </c>
    </row>
    <row r="38">
      <c r="A38" t="inlineStr">
        <is>
          <t>ST03</t>
        </is>
      </c>
      <c r="B38" s="5" t="inlineStr">
        <is>
          <t>Anti-termite treatment, pre-construction</t>
        </is>
      </c>
      <c r="C38" s="5" t="inlineStr">
        <is>
          <t>IS 6313: pit bottoms and sides, under the stilt floor and along the plinth</t>
        </is>
      </c>
      <c r="D38" s="6" t="n">
        <v>9117.02</v>
      </c>
      <c r="E38" t="inlineStr">
        <is>
          <t>sft</t>
        </is>
      </c>
      <c r="F38" s="6" t="n">
        <v>6</v>
      </c>
      <c r="G38" s="7">
        <f>D38*F38</f>
        <v/>
      </c>
      <c r="H38" s="7">
        <f>G38*(1+0.18)</f>
        <v/>
      </c>
    </row>
    <row r="39">
      <c r="A39" t="inlineStr">
        <is>
          <t>ST04</t>
        </is>
      </c>
      <c r="B39" s="5" t="inlineStr">
        <is>
          <t>PCC M10 under footings, plinth beams, sump and stilt floor</t>
        </is>
      </c>
      <c r="C39" s="5" t="inlineStr">
        <is>
          <t>Site-mixed, laid and compacted</t>
        </is>
      </c>
      <c r="D39" s="6" t="n">
        <v>57.9</v>
      </c>
      <c r="E39" t="inlineStr">
        <is>
          <t>m³</t>
        </is>
      </c>
      <c r="F39" s="6" t="n">
        <v>4800</v>
      </c>
      <c r="G39" s="7">
        <f>D39*F39</f>
        <v/>
      </c>
      <c r="H39" s="7">
        <f>G39*(1+0.18)</f>
        <v/>
      </c>
    </row>
    <row r="40">
      <c r="A40" t="inlineStr">
        <is>
          <t>ST04a</t>
        </is>
      </c>
      <c r="B40" s="5" t="inlineStr">
        <is>
          <t>Murrum / GSB sub-base under the stilt slab, 150 mm compacted</t>
        </is>
      </c>
      <c r="C40" s="5" t="inlineStr">
        <is>
          <t>Approved murrum, 95% compaction</t>
        </is>
      </c>
      <c r="D40" s="6" t="n">
        <v>55.9</v>
      </c>
      <c r="E40" t="inlineStr">
        <is>
          <t>m³</t>
        </is>
      </c>
      <c r="F40" s="6" t="n">
        <v>1100</v>
      </c>
      <c r="G40" s="7">
        <f>D40*F40</f>
        <v/>
      </c>
      <c r="H40" s="7">
        <f>G40*(1+0.18)</f>
        <v/>
      </c>
    </row>
    <row r="41">
      <c r="A41" t="inlineStr">
        <is>
          <t>ST05</t>
        </is>
      </c>
      <c r="B41" s="5" t="inlineStr">
        <is>
          <t>Ready-mix concrete M30, supply</t>
        </is>
      </c>
      <c r="C41" s="5" t="inlineStr">
        <is>
          <t>Footings, necks, plinth/tie beams, columns, lift walls, beams, slabs, stairs, sump, OHT, balcony upstands; max 20 mm aggregate · Nuvoco</t>
        </is>
      </c>
      <c r="D41" s="6" t="n">
        <v>808.25</v>
      </c>
      <c r="E41" t="inlineStr">
        <is>
          <t>m³</t>
        </is>
      </c>
      <c r="F41" s="6" t="n">
        <v>4406.78</v>
      </c>
      <c r="G41" s="7">
        <f>D41*F41</f>
        <v/>
      </c>
      <c r="H41" s="7">
        <f>G41*(1+0.18)</f>
        <v/>
      </c>
    </row>
    <row r="42">
      <c r="A42" t="inlineStr">
        <is>
          <t>ST06</t>
        </is>
      </c>
      <c r="B42" s="5" t="inlineStr">
        <is>
          <t>Ready-mix concrete M25, supply</t>
        </is>
      </c>
      <c r="C42" s="5" t="inlineStr">
        <is>
          <t>Stilt floor 150 mm slab on grade with mesh · Nuvoco</t>
        </is>
      </c>
      <c r="D42" s="6" t="n">
        <v>55.91</v>
      </c>
      <c r="E42" t="inlineStr">
        <is>
          <t>m³</t>
        </is>
      </c>
      <c r="F42" s="6" t="n">
        <v>4067.8</v>
      </c>
      <c r="G42" s="7">
        <f>D42*F42</f>
        <v/>
      </c>
      <c r="H42" s="7">
        <f>G42*(1+0.18)</f>
        <v/>
      </c>
    </row>
    <row r="43">
      <c r="A43" t="inlineStr">
        <is>
          <t>ST07</t>
        </is>
      </c>
      <c r="B43" s="5" t="inlineStr">
        <is>
          <t>Concrete pumping</t>
        </is>
      </c>
      <c r="C43" s="5" t="inlineStr">
        <is>
          <t>Boom / line pump, all levels</t>
        </is>
      </c>
      <c r="D43" s="6" t="n">
        <v>864.16</v>
      </c>
      <c r="E43" t="inlineStr">
        <is>
          <t>m³</t>
        </is>
      </c>
      <c r="F43" s="6" t="n">
        <v>350</v>
      </c>
      <c r="G43" s="7">
        <f>D43*F43</f>
        <v/>
      </c>
      <c r="H43" s="7">
        <f>G43*(1+0.18)</f>
        <v/>
      </c>
    </row>
    <row r="44">
      <c r="A44" t="inlineStr">
        <is>
          <t>ST09</t>
        </is>
      </c>
      <c r="B44" s="5" t="inlineStr">
        <is>
          <t>TMT reinforcement Fe550D, supply</t>
        </is>
      </c>
      <c r="C44" s="5" t="inlineStr">
        <is>
          <t>IS 1786; 8/10/12/16/20/25 mm per the stage-wise BBS; mill test certificates per lot · Jairaj</t>
        </is>
      </c>
      <c r="D44" s="6" t="n">
        <v>91273.17999999999</v>
      </c>
      <c r="E44" t="inlineStr">
        <is>
          <t>kg</t>
        </is>
      </c>
      <c r="F44" s="6" t="n">
        <v>53.39</v>
      </c>
      <c r="G44" s="7">
        <f>D44*F44</f>
        <v/>
      </c>
      <c r="H44" s="7">
        <f>G44*(1+0.18)</f>
        <v/>
      </c>
    </row>
    <row r="45">
      <c r="A45" t="inlineStr">
        <is>
          <t>ST09a</t>
        </is>
      </c>
      <c r="B45" s="5" t="inlineStr">
        <is>
          <t>Steel cutting wastage 3% (12 m bars)</t>
        </is>
      </c>
      <c r="C45" s="5" t="inlineStr">
        <is>
          <t>Net BBS steel is in ST09 · Jairaj</t>
        </is>
      </c>
      <c r="D45" s="6" t="n">
        <v>2738.2</v>
      </c>
      <c r="E45" t="inlineStr">
        <is>
          <t>kg</t>
        </is>
      </c>
      <c r="F45" s="6" t="n">
        <v>53.39</v>
      </c>
      <c r="G45" s="7">
        <f>D45*F45</f>
        <v/>
      </c>
      <c r="H45" s="7">
        <f>G45*(1+0.18)</f>
        <v/>
      </c>
    </row>
    <row r="46">
      <c r="A46" t="inlineStr">
        <is>
          <t>ST10</t>
        </is>
      </c>
      <c r="B46" s="5" t="inlineStr">
        <is>
          <t>Binding wire 18 SWG and cover blocks (owner supply; bending and fixing labour in the civil contract)</t>
        </is>
      </c>
      <c r="C46" s="5" t="inlineStr">
        <is>
          <t>Wire per the stage schedule (10 kg/t); cover blocks 20/25/40 mm as allowance</t>
        </is>
      </c>
      <c r="D46" s="6" t="n">
        <v>939</v>
      </c>
      <c r="E46" t="inlineStr">
        <is>
          <t>kg</t>
        </is>
      </c>
      <c r="F46" s="6" t="n">
        <v>110</v>
      </c>
      <c r="G46" s="7">
        <f>D46*F46</f>
        <v/>
      </c>
      <c r="H46" s="7">
        <f>G46*(1+0.18)</f>
        <v/>
      </c>
    </row>
    <row r="47">
      <c r="A47" t="inlineStr">
        <is>
          <t>ST11a</t>
        </is>
      </c>
      <c r="B47" s="5" t="inlineStr">
        <is>
          <t>AC pipe sleeves cast in beams, 100 mm PVC × beam width (D-88)</t>
        </is>
      </c>
      <c r="C47" s="5" t="inlineStr">
        <is>
          <t>20 per floor on the 4BHK floors (1–2), 15 on the 3BHK floors (3–5), mid-depth of the beam, positions per the AC sleeve schedule; no beam steel cut for AC pipes</t>
        </is>
      </c>
      <c r="D47" s="6" t="n">
        <v>85</v>
      </c>
      <c r="E47" t="inlineStr">
        <is>
          <t>nos</t>
        </is>
      </c>
      <c r="F47" s="6" t="n">
        <v>350</v>
      </c>
      <c r="G47" s="7">
        <f>D47*F47</f>
        <v/>
      </c>
      <c r="H47" s="7">
        <f>G47*(1+0.18)</f>
        <v/>
      </c>
    </row>
    <row r="48">
      <c r="B48" s="8" t="inlineStr">
        <is>
          <t>Sub-total · Structure: foundations, columns, beams, slabs</t>
        </is>
      </c>
      <c r="G48" s="9">
        <f>SUM(G34:G47)</f>
        <v/>
      </c>
      <c r="H48" s="9">
        <f>SUM(H34:H47)</f>
        <v/>
      </c>
    </row>
    <row r="50">
      <c r="A50" s="3" t="inlineStr">
        <is>
          <t>Civil labour contract</t>
        </is>
      </c>
      <c r="B50" s="4" t="n"/>
      <c r="C50" s="4" t="n"/>
      <c r="D50" s="4" t="n"/>
      <c r="E50" s="4" t="n"/>
      <c r="F50" s="4" t="n"/>
      <c r="G50" s="4" t="n"/>
      <c r="H50" s="4" t="n"/>
    </row>
    <row r="51">
      <c r="A51" t="inlineStr">
        <is>
          <t>LC01</t>
        </is>
      </c>
      <c r="B51" s="5" t="inlineStr">
        <is>
          <t>Civil labour contract: masonry, structural shuttering (with props and shuttering material), steel cutting/bending/fixing, slab casting (placing, vibrating, curing), brickwork, plaster, common-area masonry — Option B ₹220/sft (D-130): common part ₹146.67/sft</t>
        </is>
      </c>
      <c r="C51" s="5" t="inlineStr">
        <is>
          <t>Per sft of total slab area: 6 suspended slabs (floors 1–5 + roof) × 3,918 sft + stair headroom and lift machine-room roofs; stilt slab on grade not counted · Client's contractor</t>
        </is>
      </c>
      <c r="D51" s="6" t="n">
        <v>24188</v>
      </c>
      <c r="E51" t="inlineStr">
        <is>
          <t>sft</t>
        </is>
      </c>
      <c r="F51" s="6" t="n">
        <v>146.67</v>
      </c>
      <c r="G51" s="7">
        <f>D51*F51</f>
        <v/>
      </c>
      <c r="H51" s="7">
        <f>G51*(1+0.0)</f>
        <v/>
      </c>
    </row>
    <row r="52">
      <c r="A52" t="inlineStr">
        <is>
          <t>LC01a</t>
        </is>
      </c>
      <c r="B52" s="5" t="inlineStr">
        <is>
          <t>Civil labour contract: ₹73.33/sft part on the roof slabs (terrace, headroom, OHT), stays common</t>
        </is>
      </c>
      <c r="C52" s="5" t="inlineStr">
        <is>
          <t>Per sft of total slab area: 6 suspended slabs (floors 1–5 + roof) × 3,918 sft + stair headroom and lift machine-room roofs; stilt slab on grade not counted · Client's contractor</t>
        </is>
      </c>
      <c r="D52" s="6" t="n">
        <v>4598</v>
      </c>
      <c r="E52" t="inlineStr">
        <is>
          <t>sft</t>
        </is>
      </c>
      <c r="F52" s="6" t="n">
        <v>73.33</v>
      </c>
      <c r="G52" s="7">
        <f>D52*F52</f>
        <v/>
      </c>
      <c r="H52" s="7">
        <f>G52*(1+0.0)</f>
        <v/>
      </c>
    </row>
    <row r="53">
      <c r="B53" s="8" t="inlineStr">
        <is>
          <t>Sub-total · Civil labour contract</t>
        </is>
      </c>
      <c r="G53" s="9">
        <f>SUM(G51:G52)</f>
        <v/>
      </c>
      <c r="H53" s="9">
        <f>SUM(H51:H52)</f>
        <v/>
      </c>
    </row>
    <row r="55">
      <c r="A55" s="3" t="inlineStr">
        <is>
          <t>Outer and core walls, plaster, painting, waterproofing</t>
        </is>
      </c>
      <c r="B55" s="4" t="n"/>
      <c r="C55" s="4" t="n"/>
      <c r="D55" s="4" t="n"/>
      <c r="E55" s="4" t="n"/>
      <c r="F55" s="4" t="n"/>
      <c r="G55" s="4" t="n"/>
      <c r="H55" s="4" t="n"/>
    </row>
    <row r="56">
      <c r="A56" t="inlineStr">
        <is>
          <t>MAA5</t>
        </is>
      </c>
      <c r="B56" s="5" t="inlineStr">
        <is>
          <t>AAC blocks 600 × 200 × 200</t>
        </is>
      </c>
      <c r="C56" s="5" t="inlineStr">
        <is>
          <t>Magicrete / Biltech / Ultratech Xtralite (to quote)</t>
        </is>
      </c>
      <c r="D56" s="6" t="n">
        <v>11772.71</v>
      </c>
      <c r="E56" t="inlineStr">
        <is>
          <t>nos</t>
        </is>
      </c>
      <c r="F56" s="6" t="n">
        <v>77</v>
      </c>
      <c r="G56" s="7">
        <f>D56*F56</f>
        <v/>
      </c>
      <c r="H56" s="7">
        <f>G56*(1+0.18)</f>
        <v/>
      </c>
    </row>
    <row r="57">
      <c r="A57" t="inlineStr">
        <is>
          <t>MAA6</t>
        </is>
      </c>
      <c r="B57" s="5" t="inlineStr">
        <is>
          <t>AAC blocks 600 × 200 × 150</t>
        </is>
      </c>
      <c r="C57" s="5" t="inlineStr">
        <is>
          <t>Magicrete / Biltech / Ultratech Xtralite (to quote)</t>
        </is>
      </c>
      <c r="D57" s="6" t="n">
        <v>2439.46</v>
      </c>
      <c r="E57" t="inlineStr">
        <is>
          <t>nos</t>
        </is>
      </c>
      <c r="F57" s="6" t="n">
        <v>60</v>
      </c>
      <c r="G57" s="7">
        <f>D57*F57</f>
        <v/>
      </c>
      <c r="H57" s="7">
        <f>G57*(1+0.18)</f>
        <v/>
      </c>
    </row>
    <row r="58">
      <c r="A58" t="inlineStr">
        <is>
          <t>MAA8</t>
        </is>
      </c>
      <c r="B58" s="5" t="inlineStr">
        <is>
          <t>Thin-bed adhesive (40 kg bags)</t>
        </is>
      </c>
      <c r="C58" s="5" t="inlineStr">
        <is>
          <t>Block maker's thin-bed adhesive</t>
        </is>
      </c>
      <c r="D58" s="6" t="n">
        <v>186.86</v>
      </c>
      <c r="E58" t="inlineStr">
        <is>
          <t>bags</t>
        </is>
      </c>
      <c r="F58" s="6" t="n">
        <v>420</v>
      </c>
      <c r="G58" s="7">
        <f>D58*F58</f>
        <v/>
      </c>
      <c r="H58" s="7">
        <f>G58*(1+0.18)</f>
        <v/>
      </c>
    </row>
    <row r="59">
      <c r="A59" t="inlineStr">
        <is>
          <t>MAA9</t>
        </is>
      </c>
      <c r="B59" s="5" t="inlineStr">
        <is>
          <t>First course on a CM 1:4 levelling bed: cement</t>
        </is>
      </c>
      <c r="C59" s="5" t="inlineStr">
        <is>
          <t>Maha cement</t>
        </is>
      </c>
      <c r="D59" s="6" t="n">
        <v>21.83</v>
      </c>
      <c r="E59" t="inlineStr">
        <is>
          <t>bags</t>
        </is>
      </c>
      <c r="F59" s="6" t="n">
        <v>390</v>
      </c>
      <c r="G59" s="7">
        <f>D59*F59</f>
        <v/>
      </c>
      <c r="H59" s="7">
        <f>G59*(1+0.1799)</f>
        <v/>
      </c>
    </row>
    <row r="60">
      <c r="A60" t="inlineStr">
        <is>
          <t>MAA10</t>
        </is>
      </c>
      <c r="B60" s="5" t="inlineStr">
        <is>
          <t>First course: sand</t>
        </is>
      </c>
      <c r="C60" s="5" t="n"/>
      <c r="D60" s="6" t="n">
        <v>107.06</v>
      </c>
      <c r="E60" t="inlineStr">
        <is>
          <t>cft</t>
        </is>
      </c>
      <c r="F60" s="6" t="n">
        <v>70</v>
      </c>
      <c r="G60" s="7">
        <f>D60*F60</f>
        <v/>
      </c>
      <c r="H60" s="7">
        <f>G60*(1+0.18)</f>
        <v/>
      </c>
    </row>
    <row r="61">
      <c r="A61" t="inlineStr">
        <is>
          <t>MAB1</t>
        </is>
      </c>
      <c r="B61" s="5" t="inlineStr">
        <is>
          <t>Galvanised bed-joint mesh, every 3rd course and below sills / above lintels</t>
        </is>
      </c>
      <c r="C61" s="5" t="n"/>
      <c r="D61" s="6" t="n">
        <v>8880.42</v>
      </c>
      <c r="E61" t="inlineStr">
        <is>
          <t>rft</t>
        </is>
      </c>
      <c r="F61" s="6" t="n">
        <v>15</v>
      </c>
      <c r="G61" s="7">
        <f>D61*F61</f>
        <v/>
      </c>
      <c r="H61" s="7">
        <f>G61*(1+0.18)</f>
        <v/>
      </c>
    </row>
    <row r="62">
      <c r="A62" t="inlineStr">
        <is>
          <t>MAB2</t>
        </is>
      </c>
      <c r="B62" s="5" t="inlineStr">
        <is>
          <t>L-cramp ties into columns and cross walls</t>
        </is>
      </c>
      <c r="C62" s="5" t="n"/>
      <c r="D62" s="6" t="n">
        <v>2309.33</v>
      </c>
      <c r="E62" t="inlineStr">
        <is>
          <t>nos</t>
        </is>
      </c>
      <c r="F62" s="6" t="n">
        <v>12</v>
      </c>
      <c r="G62" s="7">
        <f>D62*F62</f>
        <v/>
      </c>
      <c r="H62" s="7">
        <f>G62*(1+0.18)</f>
        <v/>
      </c>
    </row>
    <row r="63">
      <c r="A63" t="inlineStr">
        <is>
          <t>MAB3</t>
        </is>
      </c>
      <c r="B63" s="5" t="inlineStr">
        <is>
          <t>Fibreglass mesh 300 mm over AAC–RCC junctions (wall tops and wall ends) and chases</t>
        </is>
      </c>
      <c r="C63" s="5" t="n"/>
      <c r="D63" s="6" t="n">
        <v>7943.13</v>
      </c>
      <c r="E63" t="inlineStr">
        <is>
          <t>rft</t>
        </is>
      </c>
      <c r="F63" s="6" t="n">
        <v>12</v>
      </c>
      <c r="G63" s="7">
        <f>D63*F63</f>
        <v/>
      </c>
      <c r="H63" s="7">
        <f>G63*(1+0.18)</f>
        <v/>
      </c>
    </row>
    <row r="64">
      <c r="A64" t="inlineStr">
        <is>
          <t>MAB4</t>
        </is>
      </c>
      <c r="B64" s="5" t="inlineStr">
        <is>
          <t>Soft joint at wall top: PU foam (750 ml cans) + sealant</t>
        </is>
      </c>
      <c r="C64" s="5" t="n"/>
      <c r="D64" s="6" t="n">
        <v>61.94</v>
      </c>
      <c r="E64" t="inlineStr">
        <is>
          <t>cans</t>
        </is>
      </c>
      <c r="F64" s="6" t="n">
        <v>450</v>
      </c>
      <c r="G64" s="7">
        <f>D64*F64</f>
        <v/>
      </c>
      <c r="H64" s="7">
        <f>G64*(1+0.18)</f>
        <v/>
      </c>
    </row>
    <row r="65">
      <c r="A65" t="inlineStr">
        <is>
          <t>MAC4</t>
        </is>
      </c>
      <c r="B65" s="5" t="inlineStr">
        <is>
          <t>Red bricks</t>
        </is>
      </c>
      <c r="C65" s="5" t="n"/>
      <c r="D65" s="6" t="n">
        <v>10242.07</v>
      </c>
      <c r="E65" t="inlineStr">
        <is>
          <t>nos</t>
        </is>
      </c>
      <c r="F65" s="6" t="n">
        <v>11</v>
      </c>
      <c r="G65" s="7">
        <f>D65*F65</f>
        <v/>
      </c>
      <c r="H65" s="7">
        <f>G65*(1+0.18)</f>
        <v/>
      </c>
    </row>
    <row r="66">
      <c r="A66" t="inlineStr">
        <is>
          <t>MAC5</t>
        </is>
      </c>
      <c r="B66" s="5" t="inlineStr">
        <is>
          <t>Cement</t>
        </is>
      </c>
      <c r="C66" s="5" t="inlineStr">
        <is>
          <t>Maha cement</t>
        </is>
      </c>
      <c r="D66" s="6" t="n">
        <v>25.28</v>
      </c>
      <c r="E66" t="inlineStr">
        <is>
          <t>bags</t>
        </is>
      </c>
      <c r="F66" s="6" t="n">
        <v>390</v>
      </c>
      <c r="G66" s="7">
        <f>D66*F66</f>
        <v/>
      </c>
      <c r="H66" s="7">
        <f>G66*(1+0.18)</f>
        <v/>
      </c>
    </row>
    <row r="67">
      <c r="A67" t="inlineStr">
        <is>
          <t>MAC6</t>
        </is>
      </c>
      <c r="B67" s="5" t="inlineStr">
        <is>
          <t>Sand</t>
        </is>
      </c>
      <c r="C67" s="5" t="n"/>
      <c r="D67" s="6" t="n">
        <v>184.13</v>
      </c>
      <c r="E67" t="inlineStr">
        <is>
          <t>cft</t>
        </is>
      </c>
      <c r="F67" s="6" t="n">
        <v>70</v>
      </c>
      <c r="G67" s="7">
        <f>D67*F67</f>
        <v/>
      </c>
      <c r="H67" s="7">
        <f>G67*(1+0.18)</f>
        <v/>
      </c>
    </row>
    <row r="68">
      <c r="A68" t="inlineStr">
        <is>
          <t>MAD7</t>
        </is>
      </c>
      <c r="B68" s="5" t="inlineStr">
        <is>
          <t>Concrete M20 for D1–D6</t>
        </is>
      </c>
      <c r="C68" s="5" t="n"/>
      <c r="D68" s="6" t="n">
        <v>17.29</v>
      </c>
      <c r="E68" t="inlineStr">
        <is>
          <t>m³</t>
        </is>
      </c>
      <c r="F68" s="6" t="n">
        <v>6500</v>
      </c>
      <c r="G68" s="7">
        <f>D68*F68</f>
        <v/>
      </c>
      <c r="H68" s="7">
        <f>G68*(1+0.18)</f>
        <v/>
      </c>
    </row>
    <row r="69">
      <c r="A69" t="inlineStr">
        <is>
          <t>MAD8</t>
        </is>
      </c>
      <c r="B69" s="5" t="inlineStr">
        <is>
          <t>Reinforcement Fe500D for D1–D6</t>
        </is>
      </c>
      <c r="C69" s="5" t="inlineStr">
        <is>
          <t>Maha cement</t>
        </is>
      </c>
      <c r="D69" s="6" t="n">
        <v>1266.86</v>
      </c>
      <c r="E69" t="inlineStr">
        <is>
          <t>kg</t>
        </is>
      </c>
      <c r="F69" s="6" t="n">
        <v>75</v>
      </c>
      <c r="G69" s="7">
        <f>D69*F69</f>
        <v/>
      </c>
      <c r="H69" s="7">
        <f>G69*(1+0.18)</f>
        <v/>
      </c>
    </row>
    <row r="70">
      <c r="A70" t="inlineStr">
        <is>
          <t>PPA1</t>
        </is>
      </c>
      <c r="B70" s="5" t="inlineStr">
        <is>
          <t>Gypsum punning, 2 coats direct on AAC walls, labour + material (replaces gypsum plaster)</t>
        </is>
      </c>
      <c r="C70" s="5" t="inlineStr">
        <is>
          <t>Saint-Gobain Gyproc or equal</t>
        </is>
      </c>
      <c r="D70" s="6" t="n">
        <v>10636.4</v>
      </c>
      <c r="E70" t="inlineStr">
        <is>
          <t>sft</t>
        </is>
      </c>
      <c r="F70" s="6" t="n">
        <v>30</v>
      </c>
      <c r="G70" s="7">
        <f>D70*F70</f>
        <v/>
      </c>
      <c r="H70" s="7">
        <f>G70*(1+0.0)</f>
        <v/>
      </c>
    </row>
    <row r="71">
      <c r="A71" t="inlineStr">
        <is>
          <t>PPA2</t>
        </is>
      </c>
      <c r="B71" s="5" t="inlineStr">
        <is>
          <t>Cement plaster 12 mm inside (toilets, kitchens, utilities): cement + sand only (labour in the civil contract)</t>
        </is>
      </c>
      <c r="C71" s="5" t="n"/>
      <c r="D71" s="6" t="n">
        <v>0</v>
      </c>
      <c r="E71" t="inlineStr">
        <is>
          <t>LS</t>
        </is>
      </c>
      <c r="F71" s="6" t="n">
        <v>88100</v>
      </c>
      <c r="G71" s="7">
        <f>D71*F71</f>
        <v/>
      </c>
      <c r="H71" s="7">
        <f>G71*(1+0)</f>
        <v/>
      </c>
    </row>
    <row r="72">
      <c r="A72" t="inlineStr">
        <is>
          <t>PPA3</t>
        </is>
      </c>
      <c r="B72" s="5" t="inlineStr">
        <is>
          <t>Cement plaster 12 mm, corridor / lobby / stair walls: cement + sand only (labour in the civil contract)</t>
        </is>
      </c>
      <c r="C72" s="5" t="n"/>
      <c r="D72" s="6" t="n">
        <v>1</v>
      </c>
      <c r="E72" t="inlineStr">
        <is>
          <t>LS</t>
        </is>
      </c>
      <c r="F72" s="6" t="n">
        <v>21990</v>
      </c>
      <c r="G72" s="7">
        <f>D72*F72</f>
        <v/>
      </c>
      <c r="H72" s="7">
        <f>G72*(1+0.18)</f>
        <v/>
      </c>
    </row>
    <row r="73">
      <c r="A73" t="inlineStr">
        <is>
          <t>PPA5</t>
        </is>
      </c>
      <c r="B73" s="5" t="inlineStr">
        <is>
          <t>External plaster 20 mm, two coats: cement, sand, admixture, mesh only (labour in the civil contract)</t>
        </is>
      </c>
      <c r="C73" s="5" t="n"/>
      <c r="D73" s="6" t="n">
        <v>1</v>
      </c>
      <c r="E73" t="inlineStr">
        <is>
          <t>LS</t>
        </is>
      </c>
      <c r="F73" s="6" t="n">
        <v>249396</v>
      </c>
      <c r="G73" s="7">
        <f>D73*F73</f>
        <v/>
      </c>
      <c r="H73" s="7">
        <f>G73*(1+0.18)</f>
        <v/>
      </c>
    </row>
    <row r="74">
      <c r="A74" t="inlineStr">
        <is>
          <t>PPA6</t>
        </is>
      </c>
      <c r="B74" s="5" t="inlineStr">
        <is>
          <t>Ceiling skim on exposed slab (band centres, kitchens, utilities, stores, corridor, stair soffits)</t>
        </is>
      </c>
      <c r="C74" s="5" t="n"/>
      <c r="D74" s="6" t="n">
        <v>1261.15</v>
      </c>
      <c r="E74" t="inlineStr">
        <is>
          <t>sft</t>
        </is>
      </c>
      <c r="F74" s="6" t="n">
        <v>22</v>
      </c>
      <c r="G74" s="7">
        <f>D74*F74</f>
        <v/>
      </c>
      <c r="H74" s="7">
        <f>G74*(1+0.18)</f>
        <v/>
      </c>
    </row>
    <row r="75">
      <c r="A75" t="inlineStr">
        <is>
          <t>PPB2</t>
        </is>
      </c>
      <c r="B75" s="5" t="inlineStr">
        <is>
          <t>Common area walls: putty, primer, 2 coats emulsion: material only (labour in PPB-L)</t>
        </is>
      </c>
      <c r="C75" s="5" t="inlineStr">
        <is>
          <t>Asian Paints / Berger (to quote)</t>
        </is>
      </c>
      <c r="D75" s="6" t="n">
        <v>3478.4</v>
      </c>
      <c r="E75" t="inlineStr">
        <is>
          <t>sft</t>
        </is>
      </c>
      <c r="F75" s="6" t="n">
        <v>12</v>
      </c>
      <c r="G75" s="7">
        <f>D75*F75</f>
        <v/>
      </c>
      <c r="H75" s="7">
        <f>G75*(1+0.18)</f>
        <v/>
      </c>
    </row>
    <row r="76">
      <c r="A76" t="inlineStr">
        <is>
          <t>PPB3</t>
        </is>
      </c>
      <c r="B76" s="5" t="inlineStr">
        <is>
          <t>Ceilings: exposed slab, painted: material only (labour in PPB-L)</t>
        </is>
      </c>
      <c r="C76" s="5" t="n"/>
      <c r="D76" s="6" t="n">
        <v>1261.15</v>
      </c>
      <c r="E76" t="inlineStr">
        <is>
          <t>sft</t>
        </is>
      </c>
      <c r="F76" s="6" t="n">
        <v>10</v>
      </c>
      <c r="G76" s="7">
        <f>D76*F76</f>
        <v/>
      </c>
      <c r="H76" s="7">
        <f>G76*(1+0.18)</f>
        <v/>
      </c>
    </row>
    <row r="77">
      <c r="A77" t="inlineStr">
        <is>
          <t>PPB6</t>
        </is>
      </c>
      <c r="B77" s="5" t="inlineStr">
        <is>
          <t>Exterior paint: facade, balcony walls, upstands, parapets (balcony ceilings are UPVC panels, unpainted, D-77): material only (labour in PPB-L)</t>
        </is>
      </c>
      <c r="C77" s="5" t="inlineStr">
        <is>
          <t>Asian Paints Apex Ultima / Berger WeatherCoat (to quote)</t>
        </is>
      </c>
      <c r="D77" s="6" t="n">
        <v>17930.62</v>
      </c>
      <c r="E77" t="inlineStr">
        <is>
          <t>sft</t>
        </is>
      </c>
      <c r="F77" s="6" t="n">
        <v>14</v>
      </c>
      <c r="G77" s="7">
        <f>D77*F77</f>
        <v/>
      </c>
      <c r="H77" s="7">
        <f>G77*(1+0.18)</f>
        <v/>
      </c>
    </row>
    <row r="78">
      <c r="A78" t="inlineStr">
        <is>
          <t>PPB7</t>
        </is>
      </c>
      <c r="B78" s="5" t="inlineStr">
        <is>
          <t>Double scaffolding for external plaster and paint</t>
        </is>
      </c>
      <c r="C78" s="5" t="n"/>
      <c r="D78" s="6" t="n">
        <v>14544.47</v>
      </c>
      <c r="E78" t="inlineStr">
        <is>
          <t>sft</t>
        </is>
      </c>
      <c r="F78" s="6" t="n">
        <v>10</v>
      </c>
      <c r="G78" s="7">
        <f>D78*F78</f>
        <v/>
      </c>
      <c r="H78" s="7">
        <f>G78*(1+0.18)</f>
        <v/>
      </c>
    </row>
    <row r="79">
      <c r="A79" t="inlineStr">
        <is>
          <t>PPC2</t>
        </is>
      </c>
      <c r="B79" s="5" t="inlineStr">
        <is>
          <t>Toilet and utility upturns 1′ on the other walls</t>
        </is>
      </c>
      <c r="C79" s="5" t="n"/>
      <c r="D79" s="6" t="n">
        <v>1105.93</v>
      </c>
      <c r="E79" t="inlineStr">
        <is>
          <t>sft</t>
        </is>
      </c>
      <c r="F79" s="6" t="n">
        <v>45</v>
      </c>
      <c r="G79" s="7">
        <f>D79*F79</f>
        <v/>
      </c>
      <c r="H79" s="7">
        <f>G79*(1+0.18)</f>
        <v/>
      </c>
    </row>
    <row r="80">
      <c r="A80" t="inlineStr">
        <is>
          <t>PPC3</t>
        </is>
      </c>
      <c r="B80" s="5" t="inlineStr">
        <is>
          <t>Toilet and utility floors: 2 coats on the flat slab, lapped 1′ up the walls, under the screed</t>
        </is>
      </c>
      <c r="C80" s="5" t="n"/>
      <c r="D80" s="6" t="n">
        <v>2071.19</v>
      </c>
      <c r="E80" t="inlineStr">
        <is>
          <t>sft</t>
        </is>
      </c>
      <c r="F80" s="6" t="n">
        <v>45</v>
      </c>
      <c r="G80" s="7">
        <f>D80*F80</f>
        <v/>
      </c>
      <c r="H80" s="7">
        <f>G80*(1+0.18)</f>
        <v/>
      </c>
    </row>
    <row r="81">
      <c r="A81" t="inlineStr">
        <is>
          <t>PPC4</t>
        </is>
      </c>
      <c r="B81" s="5" t="inlineStr">
        <is>
          <t>Balconies: floor + 1′ upturn, cementitious 2 coats</t>
        </is>
      </c>
      <c r="C81" s="5" t="n"/>
      <c r="D81" s="6" t="n">
        <v>1457.8</v>
      </c>
      <c r="E81" t="inlineStr">
        <is>
          <t>sft</t>
        </is>
      </c>
      <c r="F81" s="6" t="n">
        <v>45</v>
      </c>
      <c r="G81" s="7">
        <f>D81*F81</f>
        <v/>
      </c>
      <c r="H81" s="7">
        <f>G81*(1+0.18)</f>
        <v/>
      </c>
    </row>
    <row r="82">
      <c r="A82" t="inlineStr">
        <is>
          <t>PPC5</t>
        </is>
      </c>
      <c r="B82" s="5" t="inlineStr">
        <is>
          <t>PU collars at drains and pipe penetrations (toilets 5, utility 3, balcony 1 each)</t>
        </is>
      </c>
      <c r="C82" s="5" t="inlineStr">
        <is>
          <t>Dr. Fixit / Fosroc (to quote)</t>
        </is>
      </c>
      <c r="D82" s="6" t="n">
        <v>265</v>
      </c>
      <c r="E82" t="inlineStr">
        <is>
          <t>nos</t>
        </is>
      </c>
      <c r="F82" s="6" t="n">
        <v>350</v>
      </c>
      <c r="G82" s="7">
        <f>D82*F82</f>
        <v/>
      </c>
      <c r="H82" s="7">
        <f>G82*(1+0.18)</f>
        <v/>
      </c>
    </row>
    <row r="83">
      <c r="A83" t="inlineStr">
        <is>
          <t>PPC6</t>
        </is>
      </c>
      <c r="B83" s="5" t="inlineStr">
        <is>
          <t>Terrace: PU membrane 2 coats incl. 1′6″ upturns on parapets and headroom walls, and the headroom/lift roofs</t>
        </is>
      </c>
      <c r="C83" s="5" t="inlineStr">
        <is>
          <t>Dr. Fixit / Fosroc (to quote)</t>
        </is>
      </c>
      <c r="D83" s="6" t="n">
        <v>4576.5</v>
      </c>
      <c r="E83" t="inlineStr">
        <is>
          <t>sft</t>
        </is>
      </c>
      <c r="F83" s="6" t="n">
        <v>75</v>
      </c>
      <c r="G83" s="7">
        <f>D83*F83</f>
        <v/>
      </c>
      <c r="H83" s="7">
        <f>G83*(1+0.18)</f>
        <v/>
      </c>
    </row>
    <row r="84">
      <c r="A84" t="inlineStr">
        <is>
          <t>PPC7</t>
        </is>
      </c>
      <c r="B84" s="5" t="inlineStr">
        <is>
          <t>Terrace 25 mm CM 1:4 topping with admixture over the CLC fill (falls in Terrace TR01)</t>
        </is>
      </c>
      <c r="C84" s="5" t="n"/>
      <c r="D84" s="6" t="n">
        <v>3917.5</v>
      </c>
      <c r="E84" t="inlineStr">
        <is>
          <t>sft</t>
        </is>
      </c>
      <c r="F84" s="6" t="n">
        <v>45</v>
      </c>
      <c r="G84" s="7">
        <f>D84*F84</f>
        <v/>
      </c>
      <c r="H84" s="7">
        <f>G84*(1+0.18)</f>
        <v/>
      </c>
    </row>
    <row r="85">
      <c r="A85" t="inlineStr">
        <is>
          <t>PPC8</t>
        </is>
      </c>
      <c r="B85" s="5" t="inlineStr">
        <is>
          <t>Terrace heat-reflective tiles</t>
        </is>
      </c>
      <c r="C85" s="5" t="n"/>
      <c r="D85" s="6" t="n">
        <v>3917.5</v>
      </c>
      <c r="E85" t="inlineStr">
        <is>
          <t>sft</t>
        </is>
      </c>
      <c r="F85" s="6" t="n">
        <v>70</v>
      </c>
      <c r="G85" s="7">
        <f>D85*F85</f>
        <v/>
      </c>
      <c r="H85" s="7">
        <f>G85*(1+0.18)</f>
        <v/>
      </c>
    </row>
    <row r="86">
      <c r="A86" t="inlineStr">
        <is>
          <t>PPC9</t>
        </is>
      </c>
      <c r="B86" s="5" t="inlineStr">
        <is>
          <t>Khurras (rainwater outlets) with PU detailing</t>
        </is>
      </c>
      <c r="C86" s="5" t="inlineStr">
        <is>
          <t>Dr. Fixit / Fosroc (to quote)</t>
        </is>
      </c>
      <c r="D86" s="6" t="n">
        <v>4</v>
      </c>
      <c r="E86" t="inlineStr">
        <is>
          <t>nos</t>
        </is>
      </c>
      <c r="F86" s="6" t="n">
        <v>1500</v>
      </c>
      <c r="G86" s="7">
        <f>D86*F86</f>
        <v/>
      </c>
      <c r="H86" s="7">
        <f>G86*(1+0.18)</f>
        <v/>
      </c>
    </row>
    <row r="87">
      <c r="A87" t="inlineStr">
        <is>
          <t>PPC10</t>
        </is>
      </c>
      <c r="B87" s="5" t="inlineStr">
        <is>
          <t>Overhead tank, sump and lift pit: crystalline, 2 coats (sizes assumed)</t>
        </is>
      </c>
      <c r="C87" s="5" t="inlineStr">
        <is>
          <t>Dr. Fixit / Fosroc (to quote)</t>
        </is>
      </c>
      <c r="D87" s="6" t="n">
        <v>920.3200000000001</v>
      </c>
      <c r="E87" t="inlineStr">
        <is>
          <t>sft</t>
        </is>
      </c>
      <c r="F87" s="6" t="n">
        <v>60</v>
      </c>
      <c r="G87" s="7">
        <f>D87*F87</f>
        <v/>
      </c>
      <c r="H87" s="7">
        <f>G87*(1+0.18)</f>
        <v/>
      </c>
    </row>
    <row r="88">
      <c r="A88" t="inlineStr">
        <is>
          <t>PPB-L</t>
        </is>
      </c>
      <c r="B88" s="5" t="inlineStr">
        <is>
          <t>Painting labour: primer + 2 coats, common areas and exterior (client lump sum)</t>
        </is>
      </c>
      <c r="C88" s="5" t="inlineStr">
        <is>
          <t>Interior walls, common areas, ceilings, false ceilings, toilet ceilings, exterior</t>
        </is>
      </c>
      <c r="D88" s="6" t="n">
        <v>4</v>
      </c>
      <c r="E88" t="inlineStr">
        <is>
          <t>flat-equiv.</t>
        </is>
      </c>
      <c r="F88" s="6" t="n">
        <v>30000</v>
      </c>
      <c r="G88" s="7">
        <f>D88*F88</f>
        <v/>
      </c>
      <c r="H88" s="7">
        <f>G88*(1+0.0)</f>
        <v/>
      </c>
    </row>
    <row r="89">
      <c r="B89" s="8" t="inlineStr">
        <is>
          <t>Sub-total · Outer and core walls, plaster, painting, waterproofing</t>
        </is>
      </c>
      <c r="G89" s="9">
        <f>SUM(G56:G88)</f>
        <v/>
      </c>
      <c r="H89" s="9">
        <f>SUM(H56:H88)</f>
        <v/>
      </c>
    </row>
    <row r="91">
      <c r="A91" s="3" t="inlineStr">
        <is>
          <t>Windows, ventilators, balcony doors and railings</t>
        </is>
      </c>
      <c r="B91" s="4" t="n"/>
      <c r="C91" s="4" t="n"/>
      <c r="D91" s="4" t="n"/>
      <c r="E91" s="4" t="n"/>
      <c r="F91" s="4" t="n"/>
      <c r="G91" s="4" t="n"/>
      <c r="H91" s="4" t="n"/>
    </row>
    <row r="92">
      <c r="A92" t="inlineStr">
        <is>
          <t>DW09</t>
        </is>
      </c>
      <c r="B92" s="5" t="inlineStr">
        <is>
          <t>Bedroom window W1 5′0″ × 5′6″</t>
        </is>
      </c>
      <c r="C92" s="5" t="inlineStr">
        <is>
          <t>Kelvin Craft UPVC slider, 5 mm black-tinted, with sliding mosquito-mesh shutter (in the UPVC price) · Kelvin Craft / Jamex</t>
        </is>
      </c>
      <c r="D92" s="6" t="n">
        <v>50</v>
      </c>
      <c r="E92" t="inlineStr">
        <is>
          <t>nos</t>
        </is>
      </c>
      <c r="F92" s="6" t="n">
        <v>10120</v>
      </c>
      <c r="G92" s="7">
        <f>D92*F92</f>
        <v/>
      </c>
      <c r="H92" s="7">
        <f>G92*(1+0.18)</f>
        <v/>
      </c>
    </row>
    <row r="93">
      <c r="A93" t="inlineStr">
        <is>
          <t>DW10</t>
        </is>
      </c>
      <c r="B93" s="5" t="inlineStr">
        <is>
          <t>Sliding door SD4 6′0″ × 8′0″ to the Flat-02 north balcony (D-111)</t>
        </is>
      </c>
      <c r="C93" s="5" t="inlineStr">
        <is>
          <t>UPVC 2-track, toughened glass · Kelvin Craft / Jamex</t>
        </is>
      </c>
      <c r="D93" s="6" t="n">
        <v>5</v>
      </c>
      <c r="E93" t="inlineStr">
        <is>
          <t>nos</t>
        </is>
      </c>
      <c r="F93" s="6" t="n">
        <v>25200</v>
      </c>
      <c r="G93" s="7">
        <f>D93*F93</f>
        <v/>
      </c>
      <c r="H93" s="7">
        <f>G93*(1+0.18)</f>
        <v/>
      </c>
    </row>
    <row r="94">
      <c r="A94" t="inlineStr">
        <is>
          <t>DW11</t>
        </is>
      </c>
      <c r="B94" s="5" t="inlineStr">
        <is>
          <t>Kitchen window KW 4′0″ × 4′6″</t>
        </is>
      </c>
      <c r="C94" s="5" t="inlineStr">
        <is>
          <t>As W1, with mosquito mesh · Elegant / Kelvin Craft</t>
        </is>
      </c>
      <c r="D94" s="6" t="n">
        <v>15</v>
      </c>
      <c r="E94" t="inlineStr">
        <is>
          <t>nos</t>
        </is>
      </c>
      <c r="F94" s="6" t="n">
        <v>7473</v>
      </c>
      <c r="G94" s="7">
        <f>D94*F94</f>
        <v/>
      </c>
      <c r="H94" s="7">
        <f>G94*(1+0.18)</f>
        <v/>
      </c>
    </row>
    <row r="95">
      <c r="A95" t="inlineStr">
        <is>
          <t>DW12</t>
        </is>
      </c>
      <c r="B95" s="5" t="inlineStr">
        <is>
          <t>Toilet ventilator V1 2′0″ × 3′0″</t>
        </is>
      </c>
      <c r="C95" s="5" t="inlineStr">
        <is>
          <t>UPVC, frosted, exhaust fan in frame · Kelvin Craft / Jamex</t>
        </is>
      </c>
      <c r="D95" s="6" t="n">
        <v>34</v>
      </c>
      <c r="E95" t="inlineStr">
        <is>
          <t>nos</t>
        </is>
      </c>
      <c r="F95" s="6" t="n">
        <v>4641</v>
      </c>
      <c r="G95" s="7">
        <f>D95*F95</f>
        <v/>
      </c>
      <c r="H95" s="7">
        <f>G95*(1+0.18)</f>
        <v/>
      </c>
    </row>
    <row r="96">
      <c r="A96" t="inlineStr">
        <is>
          <t>DW14</t>
        </is>
      </c>
      <c r="B96" s="5" t="inlineStr">
        <is>
          <t>Dining window W3 8′0″ × 6′0″ (Flat-02 east wall, D-113)</t>
        </is>
      </c>
      <c r="C96" s="5" t="inlineStr">
        <is>
          <t>Kelvin Craft UPVC slider, sill 2′0″, 5 mm black-tinted, mosquito mesh · Kelvin Craft / Jamex</t>
        </is>
      </c>
      <c r="D96" s="6" t="n">
        <v>5</v>
      </c>
      <c r="E96" t="inlineStr">
        <is>
          <t>nos</t>
        </is>
      </c>
      <c r="F96" s="6" t="n">
        <v>17700</v>
      </c>
      <c r="G96" s="7">
        <f>D96*F96</f>
        <v/>
      </c>
      <c r="H96" s="7">
        <f>G96*(1+0.18)</f>
        <v/>
      </c>
    </row>
    <row r="97">
      <c r="A97" t="inlineStr">
        <is>
          <t>DW15</t>
        </is>
      </c>
      <c r="B97" s="5" t="inlineStr">
        <is>
          <t>Utility louvre LV 3′0″ × 4′0″</t>
        </is>
      </c>
      <c r="C97" s="5" t="inlineStr">
        <is>
          <t>Aluminium louvres with MS grill · Elegant / Kelvin Craft</t>
        </is>
      </c>
      <c r="D97" s="6" t="n">
        <v>10</v>
      </c>
      <c r="E97" t="inlineStr">
        <is>
          <t>nos</t>
        </is>
      </c>
      <c r="F97" s="6" t="n">
        <v>4500</v>
      </c>
      <c r="G97" s="7">
        <f>D97*F97</f>
        <v/>
      </c>
      <c r="H97" s="7">
        <f>G97*(1+0.18)</f>
        <v/>
      </c>
    </row>
    <row r="98">
      <c r="A98" t="inlineStr">
        <is>
          <t>DW16</t>
        </is>
      </c>
      <c r="B98" s="5" t="inlineStr">
        <is>
          <t>Balcony slider SD1 6′0″ × 8′0″ (Flat-01 north balcony, D-111)</t>
        </is>
      </c>
      <c r="C98" s="5" t="inlineStr">
        <is>
          <t>UPVC 2-track, toughened glass, flyscreen · Kelvin Craft / Jamex</t>
        </is>
      </c>
      <c r="D98" s="6" t="n">
        <v>5</v>
      </c>
      <c r="E98" t="inlineStr">
        <is>
          <t>nos</t>
        </is>
      </c>
      <c r="F98" s="6" t="n">
        <v>25200</v>
      </c>
      <c r="G98" s="7">
        <f>D98*F98</f>
        <v/>
      </c>
      <c r="H98" s="7">
        <f>G98*(1+0.18)</f>
        <v/>
      </c>
    </row>
    <row r="99">
      <c r="A99" t="inlineStr">
        <is>
          <t>DW17</t>
        </is>
      </c>
      <c r="B99" s="5" t="inlineStr">
        <is>
          <t>Balcony slider SD2 6′6″ × 8′0″</t>
        </is>
      </c>
      <c r="C99" s="5" t="inlineStr">
        <is>
          <t>As SD1 · Elegant / Kelvin Craft</t>
        </is>
      </c>
      <c r="D99" s="6" t="n">
        <v>5</v>
      </c>
      <c r="E99" t="inlineStr">
        <is>
          <t>nos</t>
        </is>
      </c>
      <c r="F99" s="6" t="n">
        <v>23400</v>
      </c>
      <c r="G99" s="7">
        <f>D99*F99</f>
        <v/>
      </c>
      <c r="H99" s="7">
        <f>G99*(1+0.18)</f>
        <v/>
      </c>
    </row>
    <row r="100">
      <c r="A100" t="inlineStr">
        <is>
          <t>RM01</t>
        </is>
      </c>
      <c r="B100" s="5" t="inlineStr">
        <is>
          <t>Balcony railing: frameless glass in an aluminium base channel (bottom casing), 3′6″ from the floor (D-77)</t>
        </is>
      </c>
      <c r="C100" s="5" t="inlineStr">
        <is>
          <t>Toughened laminated glass (e.g. 6+6 mm, supplier to confirm) on a 150 × 150 RCC upstand; no brick parapet</t>
        </is>
      </c>
      <c r="D100" s="6" t="n">
        <v>155.3</v>
      </c>
      <c r="E100" t="inlineStr">
        <is>
          <t>rft</t>
        </is>
      </c>
      <c r="F100" s="6" t="n">
        <v>1500</v>
      </c>
      <c r="G100" s="7">
        <f>D100*F100</f>
        <v/>
      </c>
      <c r="H100" s="7">
        <f>G100*(1+0.18)</f>
        <v/>
      </c>
    </row>
    <row r="101">
      <c r="A101" t="inlineStr">
        <is>
          <t>RM01a</t>
        </is>
      </c>
      <c r="B101" s="5" t="inlineStr">
        <is>
          <t>North balcony AC wall: solid 7′6″ length at the west end of each north balcony, 3′6″ high on the RCC upstand, screens the AC outdoor units (D-111)</t>
        </is>
      </c>
      <c r="C101" s="5" t="inlineStr">
        <is>
          <t>4½″ brick, plastered and painted both sides, granite coping</t>
        </is>
      </c>
      <c r="D101" s="6" t="n">
        <v>75</v>
      </c>
      <c r="E101" t="inlineStr">
        <is>
          <t>rft</t>
        </is>
      </c>
      <c r="F101" s="6" t="n">
        <v>1200</v>
      </c>
      <c r="G101" s="7">
        <f>D101*F101</f>
        <v/>
      </c>
      <c r="H101" s="7">
        <f>G101*(1+0.18)</f>
        <v/>
      </c>
    </row>
    <row r="102">
      <c r="A102" t="inlineStr">
        <is>
          <t>RM04</t>
        </is>
      </c>
      <c r="B102" s="5" t="inlineStr">
        <is>
          <t>North-face pipe enclosures: ACP facade box over the external duct pipes (client, 12 Oct)</t>
        </is>
      </c>
      <c r="C102" s="5" t="inlineStr">
        <is>
          <t>4 boxes (N1, N2 each flat) ≈ 3′0″ face × 1′3″ deep, stilt to parapet; 4 mm ACP on aluminium / GI frame, weather-sealed · ACP make to quote</t>
        </is>
      </c>
      <c r="D102" s="6" t="n">
        <v>1375</v>
      </c>
      <c r="E102" t="inlineStr">
        <is>
          <t>sft</t>
        </is>
      </c>
      <c r="F102" s="6" t="n">
        <v>350</v>
      </c>
      <c r="G102" s="7">
        <f>D102*F102</f>
        <v/>
      </c>
      <c r="H102" s="7">
        <f>G102*(1+0.18)</f>
        <v/>
      </c>
    </row>
    <row r="103">
      <c r="A103" t="inlineStr">
        <is>
          <t>RM04a</t>
        </is>
      </c>
      <c r="B103" s="5" t="inlineStr">
        <is>
          <t>Access panels in the ACP boxes at each floor (cleaning eyes)</t>
        </is>
      </c>
      <c r="C103" s="5" t="inlineStr">
        <is>
          <t>Hinged / screw-fixed ACP panel 1′6″ × 2′0″</t>
        </is>
      </c>
      <c r="D103" s="6" t="n">
        <v>20</v>
      </c>
      <c r="E103" t="inlineStr">
        <is>
          <t>nos</t>
        </is>
      </c>
      <c r="F103" s="6" t="n">
        <v>2500</v>
      </c>
      <c r="G103" s="7">
        <f>D103*F103</f>
        <v/>
      </c>
      <c r="H103" s="7">
        <f>G103*(1+0.18)</f>
        <v/>
      </c>
    </row>
    <row r="104">
      <c r="A104" t="inlineStr">
        <is>
          <t>RM04b</t>
        </is>
      </c>
      <c r="B104" s="5" t="inlineStr">
        <is>
          <t>South-face duct screens, aluminium louvres on MS frame</t>
        </is>
      </c>
      <c r="C104" s="5" t="inlineStr">
        <is>
          <t>S1, S2, S3 (Flat-01), S1, S2 (Flat-02)</t>
        </is>
      </c>
      <c r="D104" s="6" t="n">
        <v>930</v>
      </c>
      <c r="E104" t="inlineStr">
        <is>
          <t>sft</t>
        </is>
      </c>
      <c r="F104" s="6" t="n">
        <v>250</v>
      </c>
      <c r="G104" s="7">
        <f>D104*F104</f>
        <v/>
      </c>
      <c r="H104" s="7">
        <f>G104*(1+0.18)</f>
        <v/>
      </c>
    </row>
    <row r="105">
      <c r="A105" t="inlineStr">
        <is>
          <t>RM05</t>
        </is>
      </c>
      <c r="B105" s="5" t="inlineStr">
        <is>
          <t>AC outdoor-unit screens and brackets</t>
        </is>
      </c>
      <c r="C105" s="5" t="inlineStr">
        <is>
          <t>Powder-coated aluminium louvre + MS bracket</t>
        </is>
      </c>
      <c r="D105" s="6" t="n">
        <v>60</v>
      </c>
      <c r="E105" t="inlineStr">
        <is>
          <t>nos</t>
        </is>
      </c>
      <c r="F105" s="6" t="n">
        <v>3000</v>
      </c>
      <c r="G105" s="7">
        <f>D105*F105</f>
        <v/>
      </c>
      <c r="H105" s="7">
        <f>G105*(1+0.18)</f>
        <v/>
      </c>
    </row>
    <row r="106">
      <c r="B106" s="8" t="inlineStr">
        <is>
          <t>Sub-total · Windows, ventilators, balcony doors and railings</t>
        </is>
      </c>
      <c r="G106" s="9">
        <f>SUM(G92:G105)</f>
        <v/>
      </c>
      <c r="H106" s="9">
        <f>SUM(H92:H105)</f>
        <v/>
      </c>
    </row>
    <row r="108">
      <c r="A108" s="3" t="inlineStr">
        <is>
          <t>Facade and terrace</t>
        </is>
      </c>
      <c r="B108" s="4" t="n"/>
      <c r="C108" s="4" t="n"/>
      <c r="D108" s="4" t="n"/>
      <c r="E108" s="4" t="n"/>
      <c r="F108" s="4" t="n"/>
      <c r="G108" s="4" t="n"/>
      <c r="H108" s="4" t="n"/>
    </row>
    <row r="109">
      <c r="A109" t="inlineStr">
        <is>
          <t>FC01</t>
        </is>
      </c>
      <c r="B109" s="5" t="inlineStr">
        <is>
          <t>Champagne vertical-fin zones</t>
        </is>
      </c>
      <c r="C109" s="5" t="inlineStr">
        <is>
          <t>4 mm PVDF ACP, champagne grey / metallic taupe; 2″ fins at 9″ c/c on an ACP backing with 10 mm shadow gaps; fixed to RCC bands / columns, AAC fixings only after pull-out tests · ACP: Aludecor / Alstrong / Eurobond (FR core to quote)</t>
        </is>
      </c>
      <c r="D109" s="6" t="n">
        <v>1944.7</v>
      </c>
      <c r="E109" t="inlineStr">
        <is>
          <t>sft</t>
        </is>
      </c>
      <c r="F109" s="6" t="n">
        <v>625</v>
      </c>
      <c r="G109" s="7">
        <f>D109*F109</f>
        <v/>
      </c>
      <c r="H109" s="7">
        <f>G109*(1+0.18)</f>
        <v/>
      </c>
    </row>
    <row r="110">
      <c r="A110" t="inlineStr">
        <is>
          <t>FC02</t>
        </is>
      </c>
      <c r="B110" s="5" t="inlineStr">
        <is>
          <t>Portal frames round each block, rounded corners</t>
        </is>
      </c>
      <c r="C110" s="5" t="inlineStr">
        <is>
          <t>1′0″ face × 9″ deep champagne ACP on an aluminium / galvanised carrier, R 2′6″ corners, concealed LED channel on the inner edge · ACP: Aludecor / Alstrong / Eurobond (FR core to quote)</t>
        </is>
      </c>
      <c r="D110" s="6" t="n">
        <v>416.9</v>
      </c>
      <c r="E110" t="inlineStr">
        <is>
          <t>rft</t>
        </is>
      </c>
      <c r="F110" s="6" t="n">
        <v>1300</v>
      </c>
      <c r="G110" s="7">
        <f>D110*F110</f>
        <v/>
      </c>
      <c r="H110" s="7">
        <f>G110*(1+0.18)</f>
        <v/>
      </c>
    </row>
    <row r="111">
      <c r="A111" t="inlineStr">
        <is>
          <t>FC03</t>
        </is>
      </c>
      <c r="B111" s="5" t="inlineStr">
        <is>
          <t>Balcony slab-edge fascia</t>
        </is>
      </c>
      <c r="C111" s="5" t="inlineStr">
        <is>
          <t>4 mm PVDF ACP, dark taupe, 1′6″ face + 6″ drip return; railing line and slab edge unchanged · ACP: Aludecor / Alstrong / Eurobond (FR core to quote)</t>
        </is>
      </c>
      <c r="D111" s="6" t="n">
        <v>231.4</v>
      </c>
      <c r="E111" t="inlineStr">
        <is>
          <t>rft</t>
        </is>
      </c>
      <c r="F111" s="6" t="n">
        <v>890</v>
      </c>
      <c r="G111" s="7">
        <f>D111*F111</f>
        <v/>
      </c>
      <c r="H111" s="7">
        <f>G111*(1+0.18)</f>
        <v/>
      </c>
    </row>
    <row r="112">
      <c r="A112" t="inlineStr">
        <is>
          <t>FC04</t>
        </is>
      </c>
      <c r="B112" s="5" t="inlineStr">
        <is>
          <t>Linear LED in the frames</t>
        </is>
      </c>
      <c r="C112" s="5" t="inlineStr">
        <is>
          <t>3000 K warm white, IP67, aluminium profile + diffuser, concealed</t>
        </is>
      </c>
      <c r="D112" s="6" t="n">
        <v>416.9</v>
      </c>
      <c r="E112" t="inlineStr">
        <is>
          <t>rft</t>
        </is>
      </c>
      <c r="F112" s="6" t="n">
        <v>450</v>
      </c>
      <c r="G112" s="7">
        <f>D112*F112</f>
        <v/>
      </c>
      <c r="H112" s="7">
        <f>G112*(1+0.18)</f>
        <v/>
      </c>
    </row>
    <row r="113">
      <c r="A113" t="inlineStr">
        <is>
          <t>FC05</t>
        </is>
      </c>
      <c r="B113" s="5" t="inlineStr">
        <is>
          <t>LED drivers, wiring, timer, isolators</t>
        </is>
      </c>
      <c r="C113" s="5" t="inlineStr">
        <is>
          <t>IP67 drivers in accessible boxes; circuit from the common DB (CE04) with astronomical timer; bond metal carriers to the lightning-protection earth</t>
        </is>
      </c>
      <c r="D113" s="6" t="n">
        <v>416.9</v>
      </c>
      <c r="E113" t="inlineStr">
        <is>
          <t>rft</t>
        </is>
      </c>
      <c r="F113" s="6" t="n">
        <v>120</v>
      </c>
      <c r="G113" s="7">
        <f>D113*F113</f>
        <v/>
      </c>
      <c r="H113" s="7">
        <f>G113*(1+0.18)</f>
        <v/>
      </c>
    </row>
    <row r="114">
      <c r="A114" t="inlineStr">
        <is>
          <t>FC06</t>
        </is>
      </c>
      <c r="B114" s="5" t="inlineStr">
        <is>
          <t>Removable louvres at the V1 ventilators</t>
        </is>
      </c>
      <c r="C114" s="5" t="inlineStr">
        <is>
          <t>Powder-coated aluminium, 2′ × 3′, screwed, free area ≥ 50%</t>
        </is>
      </c>
      <c r="D114" s="6" t="n">
        <v>14</v>
      </c>
      <c r="E114" t="inlineStr">
        <is>
          <t>nos</t>
        </is>
      </c>
      <c r="F114" s="6" t="n">
        <v>2200</v>
      </c>
      <c r="G114" s="7">
        <f>D114*F114</f>
        <v/>
      </c>
      <c r="H114" s="7">
        <f>G114*(1+0.18)</f>
        <v/>
      </c>
    </row>
    <row r="115">
      <c r="A115" t="inlineStr">
        <is>
          <t>FC07</t>
        </is>
      </c>
      <c r="B115" s="5" t="inlineStr">
        <is>
          <t>Ivory texture finish on the field</t>
        </is>
      </c>
      <c r="C115" s="5" t="inlineStr">
        <is>
          <t>Exterior texture system (primer + texture + 2 coats), ivory / warm beige, extra over the base emulsion</t>
        </is>
      </c>
      <c r="D115" s="6" t="n">
        <v>3224</v>
      </c>
      <c r="E115" t="inlineStr">
        <is>
          <t>sft</t>
        </is>
      </c>
      <c r="F115" s="6" t="n">
        <v>30</v>
      </c>
      <c r="G115" s="7">
        <f>D115*F115</f>
        <v/>
      </c>
      <c r="H115" s="7">
        <f>G115*(1+0.18)</f>
        <v/>
      </c>
    </row>
    <row r="116">
      <c r="A116" t="inlineStr">
        <is>
          <t>FC09</t>
        </is>
      </c>
      <c r="B116" s="5" t="inlineStr">
        <is>
          <t>Flashings, cappings, drip edges, sealant</t>
        </is>
      </c>
      <c r="C116" s="5" t="inlineStr">
        <is>
          <t>Folded aluminium + exterior silicone at all cladding edges, tops and openings</t>
        </is>
      </c>
      <c r="D116" s="6" t="n">
        <v>4300.8</v>
      </c>
      <c r="E116" t="inlineStr">
        <is>
          <t>sft</t>
        </is>
      </c>
      <c r="F116" s="6" t="n">
        <v>12</v>
      </c>
      <c r="G116" s="7">
        <f>D116*F116</f>
        <v/>
      </c>
      <c r="H116" s="7">
        <f>G116*(1+0.18)</f>
        <v/>
      </c>
    </row>
    <row r="117">
      <c r="A117" t="inlineStr">
        <is>
          <t>FC10</t>
        </is>
      </c>
      <c r="B117" s="5" t="inlineStr">
        <is>
          <t>Shop drawings, samples, mock-up, anchor pull-out tests, bracket check</t>
        </is>
      </c>
      <c r="C117" s="5" t="inlineStr">
        <is>
          <t>Supplier's dimensioned set-out over these elevations; tests witnessed by the PMC; engineer's written approval of fixings</t>
        </is>
      </c>
      <c r="D117" s="6" t="n">
        <v>1</v>
      </c>
      <c r="E117" t="inlineStr">
        <is>
          <t>lot</t>
        </is>
      </c>
      <c r="F117" s="6" t="n">
        <v>65000</v>
      </c>
      <c r="G117" s="7">
        <f>D117*F117</f>
        <v/>
      </c>
      <c r="H117" s="7">
        <f>G117*(1+0.18)</f>
        <v/>
      </c>
    </row>
    <row r="118">
      <c r="A118" t="inlineStr">
        <is>
          <t>FC11</t>
        </is>
      </c>
      <c r="B118" s="5" t="inlineStr">
        <is>
          <t>Extended scaffold hire for the cladding</t>
        </is>
      </c>
      <c r="C118" s="5" t="inlineStr">
        <is>
          <t>Base double scaffold reused (PPB7); one extra month</t>
        </is>
      </c>
      <c r="D118" s="6" t="n">
        <v>8192</v>
      </c>
      <c r="E118" t="inlineStr">
        <is>
          <t>sft</t>
        </is>
      </c>
      <c r="F118" s="6" t="n">
        <v>3.5</v>
      </c>
      <c r="G118" s="7">
        <f>D118*F118</f>
        <v/>
      </c>
      <c r="H118" s="7">
        <f>G118*(1+0.18)</f>
        <v/>
      </c>
    </row>
    <row r="119">
      <c r="A119" t="inlineStr">
        <is>
          <t>FC12</t>
        </is>
      </c>
      <c r="B119" s="5" t="inlineStr">
        <is>
          <t>Credit: base exterior paint not needed under the ACP</t>
        </is>
      </c>
      <c r="C119" s="5" t="inlineStr">
        <is>
          <t>Plaster stays under the cladding</t>
        </is>
      </c>
      <c r="D119" s="6" t="n">
        <v>-2044.4</v>
      </c>
      <c r="E119" t="inlineStr">
        <is>
          <t>sft</t>
        </is>
      </c>
      <c r="F119" s="6" t="n">
        <v>26</v>
      </c>
      <c r="G119" s="7">
        <f>D119*F119</f>
        <v/>
      </c>
      <c r="H119" s="7">
        <f>G119*(1+0.18)</f>
        <v/>
      </c>
    </row>
    <row r="120">
      <c r="A120" t="inlineStr">
        <is>
          <t>FC13</t>
        </is>
      </c>
      <c r="B120" s="5" t="inlineStr">
        <is>
          <t>Credit: grey ACP pipe-box faces replaced by the fin zones (RM04)</t>
        </is>
      </c>
      <c r="C120" s="5" t="inlineStr">
        <is>
          <t>Box sides stay in RM04, colour changed to champagne</t>
        </is>
      </c>
      <c r="D120" s="6" t="n">
        <v>-659.7</v>
      </c>
      <c r="E120" t="inlineStr">
        <is>
          <t>sft</t>
        </is>
      </c>
      <c r="F120" s="6" t="n">
        <v>450</v>
      </c>
      <c r="G120" s="7">
        <f>D120*F120</f>
        <v/>
      </c>
      <c r="H120" s="7">
        <f>G120*(1+0.18)</f>
        <v/>
      </c>
    </row>
    <row r="121">
      <c r="A121" t="inlineStr">
        <is>
          <t>TR01</t>
        </is>
      </c>
      <c r="B121" s="5" t="inlineStr">
        <is>
          <t>Lightweight foam concrete (CLC ≈ 800 kg/m³) fill to falls 1:100 towards the 4 outlets</t>
        </is>
      </c>
      <c r="C121" s="5" t="inlineStr">
        <is>
          <t>15–185 mm, average ≈ 90 mm, per TR-01/TR-02</t>
        </is>
      </c>
      <c r="D121" s="6" t="n">
        <v>31.6</v>
      </c>
      <c r="E121" t="inlineStr">
        <is>
          <t>m³</t>
        </is>
      </c>
      <c r="F121" s="6" t="n">
        <v>6500</v>
      </c>
      <c r="G121" s="7">
        <f>D121*F121</f>
        <v/>
      </c>
      <c r="H121" s="7">
        <f>G121*(1+0.18)</f>
        <v/>
      </c>
    </row>
    <row r="122">
      <c r="A122" t="inlineStr">
        <is>
          <t>TR02</t>
        </is>
      </c>
      <c r="B122" s="5" t="inlineStr">
        <is>
          <t>Screed guide strips on the valley and ridge lines (set-out)</t>
        </is>
      </c>
      <c r="C122" s="5" t="n"/>
      <c r="D122" s="6" t="n">
        <v>276</v>
      </c>
      <c r="E122" t="inlineStr">
        <is>
          <t>rft</t>
        </is>
      </c>
      <c r="F122" s="6" t="n">
        <v>30</v>
      </c>
      <c r="G122" s="7">
        <f>D122*F122</f>
        <v/>
      </c>
      <c r="H122" s="7">
        <f>G122*(1+0.18)</f>
        <v/>
      </c>
    </row>
    <row r="123">
      <c r="A123" t="inlineStr">
        <is>
          <t>TR03</t>
        </is>
      </c>
      <c r="B123" s="5" t="inlineStr">
        <is>
          <t>Parapet coping, black granite 9″ × 30 mm with drip groove</t>
        </is>
      </c>
      <c r="C123" s="5" t="inlineStr">
        <is>
          <t>Client choice</t>
        </is>
      </c>
      <c r="D123" s="6" t="n">
        <v>328</v>
      </c>
      <c r="E123" t="inlineStr">
        <is>
          <t>rft</t>
        </is>
      </c>
      <c r="F123" s="6" t="n">
        <v>350</v>
      </c>
      <c r="G123" s="7">
        <f>D123*F123</f>
        <v/>
      </c>
      <c r="H123" s="7">
        <f>G123*(1+0.18)</f>
        <v/>
      </c>
    </row>
    <row r="124">
      <c r="A124" t="inlineStr">
        <is>
          <t>TR04</t>
        </is>
      </c>
      <c r="B124" s="5" t="inlineStr">
        <is>
          <t>Overflow spouts 75 mm through the parapet beside each outlet</t>
        </is>
      </c>
      <c r="C124" s="5" t="inlineStr">
        <is>
          <t>uPVC / GI with PU collar</t>
        </is>
      </c>
      <c r="D124" s="6" t="n">
        <v>4</v>
      </c>
      <c r="E124" t="inlineStr">
        <is>
          <t>nos</t>
        </is>
      </c>
      <c r="F124" s="6" t="n">
        <v>1500</v>
      </c>
      <c r="G124" s="7">
        <f>D124*F124</f>
        <v/>
      </c>
      <c r="H124" s="7">
        <f>G124*(1+0.18)</f>
        <v/>
      </c>
    </row>
    <row r="125">
      <c r="A125" t="inlineStr">
        <is>
          <t>TR05</t>
        </is>
      </c>
      <c r="B125" s="5" t="inlineStr">
        <is>
          <t>Terrace door from the stair, MS / FRP 3′0″ × 7′0″ with louvre, lockable</t>
        </is>
      </c>
      <c r="C125" s="5" t="n"/>
      <c r="D125" s="6" t="n">
        <v>1</v>
      </c>
      <c r="E125" t="inlineStr">
        <is>
          <t>nos</t>
        </is>
      </c>
      <c r="F125" s="6" t="n">
        <v>18000</v>
      </c>
      <c r="G125" s="7">
        <f>D125*F125</f>
        <v/>
      </c>
      <c r="H125" s="7">
        <f>G125*(1+0.18)</f>
        <v/>
      </c>
    </row>
    <row r="126">
      <c r="A126" t="inlineStr">
        <is>
          <t>TR06</t>
        </is>
      </c>
      <c r="B126" s="5" t="inlineStr">
        <is>
          <t>Cat ladders to the OHT roofs (2) and the headroom roof (1)</t>
        </is>
      </c>
      <c r="C126" s="5" t="inlineStr">
        <is>
          <t>MS / SS</t>
        </is>
      </c>
      <c r="D126" s="6" t="n">
        <v>3</v>
      </c>
      <c r="E126" t="inlineStr">
        <is>
          <t>nos</t>
        </is>
      </c>
      <c r="F126" s="6" t="n">
        <v>15000</v>
      </c>
      <c r="G126" s="7">
        <f>D126*F126</f>
        <v/>
      </c>
      <c r="H126" s="7">
        <f>G126*(1+0.18)</f>
        <v/>
      </c>
    </row>
    <row r="127">
      <c r="A127" t="inlineStr">
        <is>
          <t>TR07</t>
        </is>
      </c>
      <c r="B127" s="5" t="inlineStr">
        <is>
          <t>Bulkhead lights 15 W on the terrace</t>
        </is>
      </c>
      <c r="C127" s="5" t="inlineStr">
        <is>
          <t>A116</t>
        </is>
      </c>
      <c r="D127" s="6" t="n">
        <v>6</v>
      </c>
      <c r="E127" t="inlineStr">
        <is>
          <t>nos</t>
        </is>
      </c>
      <c r="F127" s="6" t="n">
        <v>1500</v>
      </c>
      <c r="G127" s="7">
        <f>D127*F127</f>
        <v/>
      </c>
      <c r="H127" s="7">
        <f>G127*(1+0.18)</f>
        <v/>
      </c>
    </row>
    <row r="128">
      <c r="B128" s="8" t="inlineStr">
        <is>
          <t>Sub-total · Facade and terrace</t>
        </is>
      </c>
      <c r="G128" s="9">
        <f>SUM(G109:G127)</f>
        <v/>
      </c>
      <c r="H128" s="9">
        <f>SUM(H109:H127)</f>
        <v/>
      </c>
    </row>
    <row r="130">
      <c r="A130" s="3" t="inlineStr">
        <is>
          <t>Lift</t>
        </is>
      </c>
      <c r="B130" s="4" t="n"/>
      <c r="C130" s="4" t="n"/>
      <c r="D130" s="4" t="n"/>
      <c r="E130" s="4" t="n"/>
      <c r="F130" s="4" t="n"/>
      <c r="G130" s="4" t="n"/>
      <c r="H130" s="4" t="n"/>
    </row>
    <row r="131">
      <c r="A131" t="inlineStr">
        <is>
          <t>LF01</t>
        </is>
      </c>
      <c r="B131" s="5" t="inlineStr">
        <is>
          <t>Passenger lift, machine-room-less, 8 persons / 544 kg, 1.0 m/s</t>
        </is>
      </c>
      <c r="C131" s="5" t="inlineStr">
        <is>
          <t>6 stops (stilt + 5 floors), 6 openings same side, centre-opening SS automatic doors, ARD (auto rescue), VVVF, SS hairline car, false ceiling, intercom, overload, fire switch, access-control interface · Kone / Schindler / Johnson / Otis (to quote)</t>
        </is>
      </c>
      <c r="D131" s="6" t="n">
        <v>1</v>
      </c>
      <c r="E131" t="inlineStr">
        <is>
          <t>nos</t>
        </is>
      </c>
      <c r="F131" s="6" t="n">
        <v>1313559</v>
      </c>
      <c r="G131" s="7">
        <f>D131*F131</f>
        <v/>
      </c>
      <c r="H131" s="7">
        <f>G131*(1+0.18)</f>
        <v/>
      </c>
    </row>
    <row r="132">
      <c r="A132" t="inlineStr">
        <is>
          <t>LF02</t>
        </is>
      </c>
      <c r="B132" s="5" t="inlineStr">
        <is>
          <t>Lift power wiring, shaft lighting and pit ladder</t>
        </is>
      </c>
      <c r="C132" s="5" t="inlineStr">
        <is>
          <t>From the lift isolator in the meter room; shaft lights every floor</t>
        </is>
      </c>
      <c r="D132" s="6" t="n">
        <v>1</v>
      </c>
      <c r="E132" t="inlineStr">
        <is>
          <t>LS</t>
        </is>
      </c>
      <c r="F132" s="6" t="n">
        <v>60000</v>
      </c>
      <c r="G132" s="7">
        <f>D132*F132</f>
        <v/>
      </c>
      <c r="H132" s="7">
        <f>G132*(1+0.18)</f>
        <v/>
      </c>
    </row>
    <row r="133">
      <c r="B133" s="8" t="inlineStr">
        <is>
          <t>Sub-total · Lift</t>
        </is>
      </c>
      <c r="G133" s="9">
        <f>SUM(G131:G132)</f>
        <v/>
      </c>
      <c r="H133" s="9">
        <f>SUM(H131:H132)</f>
        <v/>
      </c>
    </row>
    <row r="135">
      <c r="A135" s="3" t="inlineStr">
        <is>
          <t>Lobbies, stair and stilt: granite, tiles, ceilings</t>
        </is>
      </c>
      <c r="B135" s="4" t="n"/>
      <c r="C135" s="4" t="n"/>
      <c r="D135" s="4" t="n"/>
      <c r="E135" s="4" t="n"/>
      <c r="F135" s="4" t="n"/>
      <c r="G135" s="4" t="n"/>
      <c r="H135" s="4" t="n"/>
    </row>
    <row r="136">
      <c r="A136" t="inlineStr">
        <is>
          <t>CA01</t>
        </is>
      </c>
      <c r="B136" s="5" t="inlineStr">
        <is>
          <t>Sadarahalli granite lappato 18–20 mm, floor fields: lobbies, landings, lift landing pad</t>
        </is>
      </c>
      <c r="C136" s="5" t="inlineStr">
        <is>
          <t>Laid on CM bed, joints epoxy-filled · Sadarahalli (to quote)</t>
        </is>
      </c>
      <c r="D136" s="6" t="n">
        <v>573.8</v>
      </c>
      <c r="E136" t="inlineStr">
        <is>
          <t>sft</t>
        </is>
      </c>
      <c r="F136" s="6" t="n">
        <v>170</v>
      </c>
      <c r="G136" s="7">
        <f>D136*F136</f>
        <v/>
      </c>
      <c r="H136" s="7">
        <f>G136*(1+0.18)</f>
        <v/>
      </c>
    </row>
    <row r="137">
      <c r="A137" t="inlineStr">
        <is>
          <t>CA02</t>
        </is>
      </c>
      <c r="B137" s="5" t="inlineStr">
        <is>
          <t>Black granite 18 mm, 6″ border bands</t>
        </is>
      </c>
      <c r="C137" s="5" t="inlineStr">
        <is>
          <t>Absolute / Black Galaxy, polished</t>
        </is>
      </c>
      <c r="D137" s="6" t="n">
        <v>203.38</v>
      </c>
      <c r="E137" t="inlineStr">
        <is>
          <t>sft</t>
        </is>
      </c>
      <c r="F137" s="6" t="n">
        <v>220</v>
      </c>
      <c r="G137" s="7">
        <f>D137*F137</f>
        <v/>
      </c>
      <c r="H137" s="7">
        <f>G137*(1+0.18)</f>
        <v/>
      </c>
    </row>
    <row r="138">
      <c r="A138" t="inlineStr">
        <is>
          <t>CA03</t>
        </is>
      </c>
      <c r="B138" s="5" t="inlineStr">
        <is>
          <t>UPVC/PVC panel ceiling, balconies (D-77)</t>
        </is>
      </c>
      <c r="C138" s="5" t="inlineStr">
        <is>
          <t>Lobbies</t>
        </is>
      </c>
      <c r="D138" s="6" t="n">
        <v>1112</v>
      </c>
      <c r="E138" t="inlineStr">
        <is>
          <t>sft</t>
        </is>
      </c>
      <c r="F138" s="6" t="n">
        <v>110.17</v>
      </c>
      <c r="G138" s="7">
        <f>D138*F138</f>
        <v/>
      </c>
      <c r="H138" s="7">
        <f>G138*(1+0.18)</f>
        <v/>
      </c>
    </row>
    <row r="139">
      <c r="A139" t="inlineStr">
        <is>
          <t>CA04</t>
        </is>
      </c>
      <c r="B139" s="5" t="inlineStr">
        <is>
          <t>Black granite main-door thresholds 4′0″ × 9″ × 20 mm</t>
        </is>
      </c>
      <c r="C139" s="5" t="inlineStr">
        <is>
          <t>Lobby side</t>
        </is>
      </c>
      <c r="D139" s="6" t="n">
        <v>10</v>
      </c>
      <c r="E139" t="inlineStr">
        <is>
          <t>nos</t>
        </is>
      </c>
      <c r="F139" s="6" t="n">
        <v>1800</v>
      </c>
      <c r="G139" s="7">
        <f>D139*F139</f>
        <v/>
      </c>
      <c r="H139" s="7">
        <f>G139*(1+0.18)</f>
        <v/>
      </c>
    </row>
    <row r="140">
      <c r="A140" t="inlineStr">
        <is>
          <t>CA05</t>
        </is>
      </c>
      <c r="B140" s="5" t="inlineStr">
        <is>
          <t>Stair treads 950 × 275 × 20 mm with nosing and anti-skid grooves</t>
        </is>
      </c>
      <c r="C140" s="5" t="inlineStr">
        <is>
          <t>Sadarahalli lappato (or white granite)</t>
        </is>
      </c>
      <c r="D140" s="6" t="n">
        <v>98.7</v>
      </c>
      <c r="E140" t="inlineStr">
        <is>
          <t>nos</t>
        </is>
      </c>
      <c r="F140" s="6" t="n">
        <v>650</v>
      </c>
      <c r="G140" s="7">
        <f>D140*F140</f>
        <v/>
      </c>
      <c r="H140" s="7">
        <f>G140*(1+0.18)</f>
        <v/>
      </c>
    </row>
    <row r="141">
      <c r="A141" t="inlineStr">
        <is>
          <t>CA06</t>
        </is>
      </c>
      <c r="B141" s="5" t="inlineStr">
        <is>
          <t>Stair risers 950 × 170 × 18 mm</t>
        </is>
      </c>
      <c r="C141" s="5" t="inlineStr">
        <is>
          <t>Black granite</t>
        </is>
      </c>
      <c r="D141" s="6" t="n">
        <v>111.3</v>
      </c>
      <c r="E141" t="inlineStr">
        <is>
          <t>nos</t>
        </is>
      </c>
      <c r="F141" s="6" t="n">
        <v>450</v>
      </c>
      <c r="G141" s="7">
        <f>D141*F141</f>
        <v/>
      </c>
      <c r="H141" s="7">
        <f>G141*(1+0.18)</f>
        <v/>
      </c>
    </row>
    <row r="142">
      <c r="A142" t="inlineStr">
        <is>
          <t>CA07</t>
        </is>
      </c>
      <c r="B142" s="5" t="inlineStr">
        <is>
          <t>Granite dado 3′6″ on the stair wall side and round the mid landings</t>
        </is>
      </c>
      <c r="C142" s="5" t="inlineStr">
        <is>
          <t>18 mm, black or Sadarahalli to match</t>
        </is>
      </c>
      <c r="D142" s="6" t="n">
        <v>688.53</v>
      </c>
      <c r="E142" t="inlineStr">
        <is>
          <t>sft</t>
        </is>
      </c>
      <c r="F142" s="6" t="n">
        <v>240</v>
      </c>
      <c r="G142" s="7">
        <f>D142*F142</f>
        <v/>
      </c>
      <c r="H142" s="7">
        <f>G142*(1+0.18)</f>
        <v/>
      </c>
    </row>
    <row r="143">
      <c r="A143" t="inlineStr">
        <is>
          <t>CA08</t>
        </is>
      </c>
      <c r="B143" s="5" t="inlineStr">
        <is>
          <t>SS 304 stair railing, 900 mm, 50 mm handrail, balusters; terrace guard rail</t>
        </is>
      </c>
      <c r="C143" s="5" t="inlineStr">
        <is>
          <t>Brushed finish</t>
        </is>
      </c>
      <c r="D143" s="6" t="n">
        <v>112.01</v>
      </c>
      <c r="E143" t="inlineStr">
        <is>
          <t>rft</t>
        </is>
      </c>
      <c r="F143" s="6" t="n">
        <v>2200</v>
      </c>
      <c r="G143" s="7">
        <f>D143*F143</f>
        <v/>
      </c>
      <c r="H143" s="7">
        <f>G143*(1+0.18)</f>
        <v/>
      </c>
    </row>
    <row r="144">
      <c r="A144" t="inlineStr">
        <is>
          <t>CA09</t>
        </is>
      </c>
      <c r="B144" s="5" t="inlineStr">
        <is>
          <t>Stair louvred windows 3′0″ × 4′0″, aluminium louvres + top-hung glass panel</t>
        </is>
      </c>
      <c r="C144" s="5" t="inlineStr">
        <is>
          <t>One per mid landing, south wall</t>
        </is>
      </c>
      <c r="D144" s="6" t="n">
        <v>6</v>
      </c>
      <c r="E144" t="inlineStr">
        <is>
          <t>nos</t>
        </is>
      </c>
      <c r="F144" s="6" t="n">
        <v>9000</v>
      </c>
      <c r="G144" s="7">
        <f>D144*F144</f>
        <v/>
      </c>
      <c r="H144" s="7">
        <f>G144*(1+0.18)</f>
        <v/>
      </c>
    </row>
    <row r="145">
      <c r="A145" t="inlineStr">
        <is>
          <t>CA10</t>
        </is>
      </c>
      <c r="B145" s="5" t="inlineStr">
        <is>
          <t>Granite sill and jambs at the stair windows, black 6″</t>
        </is>
      </c>
      <c r="C145" s="5" t="n"/>
      <c r="D145" s="6" t="n">
        <v>66</v>
      </c>
      <c r="E145" t="inlineStr">
        <is>
          <t>rft</t>
        </is>
      </c>
      <c r="F145" s="6" t="n">
        <v>200</v>
      </c>
      <c r="G145" s="7">
        <f>D145*F145</f>
        <v/>
      </c>
      <c r="H145" s="7">
        <f>G145*(1+0.18)</f>
        <v/>
      </c>
    </row>
    <row r="146">
      <c r="A146" t="inlineStr">
        <is>
          <t>CA11</t>
        </is>
      </c>
      <c r="B146" s="5" t="inlineStr">
        <is>
          <t>Lift wall cladding, granite 18–20 mm, dry-fixed with SS clamps (5 floors + stilt)</t>
        </is>
      </c>
      <c r="C146" s="5" t="inlineStr">
        <is>
          <t>Up to the false ceiling; stilt up to the beam</t>
        </is>
      </c>
      <c r="D146" s="6" t="n">
        <v>213.28</v>
      </c>
      <c r="E146" t="inlineStr">
        <is>
          <t>sft</t>
        </is>
      </c>
      <c r="F146" s="6" t="n">
        <v>450</v>
      </c>
      <c r="G146" s="7">
        <f>D146*F146</f>
        <v/>
      </c>
      <c r="H146" s="7">
        <f>G146*(1+0.18)</f>
        <v/>
      </c>
    </row>
    <row r="147">
      <c r="A147" t="inlineStr">
        <is>
          <t>CA12</t>
        </is>
      </c>
      <c r="B147" s="5" t="inlineStr">
        <is>
          <t>Lift door architraves, same stone, 6″ band</t>
        </is>
      </c>
      <c r="C147" s="5" t="n"/>
      <c r="D147" s="6" t="n">
        <v>119.35</v>
      </c>
      <c r="E147" t="inlineStr">
        <is>
          <t>rft</t>
        </is>
      </c>
      <c r="F147" s="6" t="n">
        <v>250</v>
      </c>
      <c r="G147" s="7">
        <f>D147*F147</f>
        <v/>
      </c>
      <c r="H147" s="7">
        <f>G147*(1+0.18)</f>
        <v/>
      </c>
    </row>
    <row r="148">
      <c r="A148" t="inlineStr">
        <is>
          <t>CA13</t>
        </is>
      </c>
      <c r="B148" s="5" t="inlineStr">
        <is>
          <t>Texture finish on the corridor walls, to the false ceiling</t>
        </is>
      </c>
      <c r="C148" s="5" t="inlineStr">
        <is>
          <t>On putty-levelled plaster (plaster in PPW A3)</t>
        </is>
      </c>
      <c r="D148" s="6" t="n">
        <v>924.58</v>
      </c>
      <c r="E148" t="inlineStr">
        <is>
          <t>sft</t>
        </is>
      </c>
      <c r="F148" s="6" t="n">
        <v>65</v>
      </c>
      <c r="G148" s="7">
        <f>D148*F148</f>
        <v/>
      </c>
      <c r="H148" s="7">
        <f>G148*(1+0.18)</f>
        <v/>
      </c>
    </row>
    <row r="149">
      <c r="A149" t="inlineStr">
        <is>
          <t>CA14</t>
        </is>
      </c>
      <c r="B149" s="5" t="inlineStr">
        <is>
          <t>Corridor gypsum false ceiling at 8′3″ with access panel</t>
        </is>
      </c>
      <c r="C149" s="5" t="inlineStr">
        <is>
          <t>Gyproc or equal</t>
        </is>
      </c>
      <c r="D149" s="6" t="n">
        <v>507.5</v>
      </c>
      <c r="E149" t="inlineStr">
        <is>
          <t>sft</t>
        </is>
      </c>
      <c r="F149" s="6" t="n">
        <v>90</v>
      </c>
      <c r="G149" s="7">
        <f>D149*F149</f>
        <v/>
      </c>
      <c r="H149" s="7">
        <f>G149*(1+0.18)</f>
        <v/>
      </c>
    </row>
    <row r="150">
      <c r="A150" t="inlineStr">
        <is>
          <t>CA15</t>
        </is>
      </c>
      <c r="B150" s="5" t="inlineStr">
        <is>
          <t>False-ceiling drop at the stair opening, 1′0″</t>
        </is>
      </c>
      <c r="C150" s="5" t="n"/>
      <c r="D150" s="6" t="n">
        <v>35</v>
      </c>
      <c r="E150" t="inlineStr">
        <is>
          <t>rft</t>
        </is>
      </c>
      <c r="F150" s="6" t="n">
        <v>150</v>
      </c>
      <c r="G150" s="7">
        <f>D150*F150</f>
        <v/>
      </c>
      <c r="H150" s="7">
        <f>G150*(1+0.18)</f>
        <v/>
      </c>
    </row>
    <row r="151">
      <c r="A151" t="inlineStr">
        <is>
          <t>CA16</t>
        </is>
      </c>
      <c r="B151" s="5" t="inlineStr">
        <is>
          <t>LED downlights 12 W, corridors, on the stilt master switch</t>
        </is>
      </c>
      <c r="C151" s="5" t="inlineStr">
        <is>
          <t>Recessed, 3 per lobby · Philips / Wipro (to quote)</t>
        </is>
      </c>
      <c r="D151" s="6" t="n">
        <v>15</v>
      </c>
      <c r="E151" t="inlineStr">
        <is>
          <t>nos</t>
        </is>
      </c>
      <c r="F151" s="6" t="n">
        <v>1200</v>
      </c>
      <c r="G151" s="7">
        <f>D151*F151</f>
        <v/>
      </c>
      <c r="H151" s="7">
        <f>G151*(1+0.18)</f>
        <v/>
      </c>
    </row>
    <row r="152">
      <c r="A152" t="inlineStr">
        <is>
          <t>CA17</t>
        </is>
      </c>
      <c r="B152" s="5" t="inlineStr">
        <is>
          <t>LED downlight 12 W with ceiling PIR sensor, one per corridor</t>
        </is>
      </c>
      <c r="C152" s="5" t="inlineStr">
        <is>
          <t>Own always-on circuit</t>
        </is>
      </c>
      <c r="D152" s="6" t="n">
        <v>5</v>
      </c>
      <c r="E152" t="inlineStr">
        <is>
          <t>nos</t>
        </is>
      </c>
      <c r="F152" s="6" t="n">
        <v>3300</v>
      </c>
      <c r="G152" s="7">
        <f>D152*F152</f>
        <v/>
      </c>
      <c r="H152" s="7">
        <f>G152*(1+0.18)</f>
        <v/>
      </c>
    </row>
    <row r="153">
      <c r="A153" t="inlineStr">
        <is>
          <t>CA18</t>
        </is>
      </c>
      <c r="B153" s="5" t="inlineStr">
        <is>
          <t>Master switch for the corridor lights at the stilt lift landing</t>
        </is>
      </c>
      <c r="C153" s="5" t="inlineStr">
        <is>
          <t>Myrius 20 A switch + indicator · Legrand</t>
        </is>
      </c>
      <c r="D153" s="6" t="n">
        <v>1</v>
      </c>
      <c r="E153" t="inlineStr">
        <is>
          <t>set</t>
        </is>
      </c>
      <c r="F153" s="6" t="n">
        <v>3000</v>
      </c>
      <c r="G153" s="7">
        <f>D153*F153</f>
        <v/>
      </c>
      <c r="H153" s="7">
        <f>G153*(1+0.18)</f>
        <v/>
      </c>
    </row>
    <row r="154">
      <c r="A154" t="inlineStr">
        <is>
          <t>CA19</t>
        </is>
      </c>
      <c r="B154" s="5" t="inlineStr">
        <is>
          <t>Corridor lighting riser, 2 circuits</t>
        </is>
      </c>
      <c r="C154" s="5" t="inlineStr">
        <is>
          <t>20 mm FRLS conduit + 3 × 1.5 sq mm per circuit</t>
        </is>
      </c>
      <c r="D154" s="6" t="n">
        <v>370</v>
      </c>
      <c r="E154" t="inlineStr">
        <is>
          <t>rft</t>
        </is>
      </c>
      <c r="F154" s="6" t="n">
        <v>45</v>
      </c>
      <c r="G154" s="7">
        <f>D154*F154</f>
        <v/>
      </c>
      <c r="H154" s="7">
        <f>G154*(1+0.18)</f>
        <v/>
      </c>
    </row>
    <row r="155">
      <c r="A155" t="inlineStr">
        <is>
          <t>CA20</t>
        </is>
      </c>
      <c r="B155" s="5" t="inlineStr">
        <is>
          <t>Stair lights, LED bulkhead 12 W with built-in PIR, every landing and mid landing</t>
        </is>
      </c>
      <c r="C155" s="5" t="n"/>
      <c r="D155" s="6" t="n">
        <v>13</v>
      </c>
      <c r="E155" t="inlineStr">
        <is>
          <t>nos</t>
        </is>
      </c>
      <c r="F155" s="6" t="n">
        <v>1800</v>
      </c>
      <c r="G155" s="7">
        <f>D155*F155</f>
        <v/>
      </c>
      <c r="H155" s="7">
        <f>G155*(1+0.18)</f>
        <v/>
      </c>
    </row>
    <row r="156">
      <c r="A156" t="inlineStr">
        <is>
          <t>CA21</t>
        </is>
      </c>
      <c r="B156" s="5" t="inlineStr">
        <is>
          <t>Parking: recessed linear LED 20 W along the drive (IP54)</t>
        </is>
      </c>
      <c r="C156" s="5" t="n"/>
      <c r="D156" s="6" t="n">
        <v>23</v>
      </c>
      <c r="E156" t="inlineStr">
        <is>
          <t>nos</t>
        </is>
      </c>
      <c r="F156" s="6" t="n">
        <v>2500</v>
      </c>
      <c r="G156" s="7">
        <f>D156*F156</f>
        <v/>
      </c>
      <c r="H156" s="7">
        <f>G156*(1+0.18)</f>
        <v/>
      </c>
    </row>
    <row r="157">
      <c r="A157" t="inlineStr">
        <is>
          <t>CA22</t>
        </is>
      </c>
      <c r="B157" s="5" t="inlineStr">
        <is>
          <t>Parking: recessed LED downlights 12 W over each bay + lift landing and stair foot</t>
        </is>
      </c>
      <c r="C157" s="5" t="inlineStr">
        <is>
          <t>IP54</t>
        </is>
      </c>
      <c r="D157" s="6" t="n">
        <v>22</v>
      </c>
      <c r="E157" t="inlineStr">
        <is>
          <t>nos</t>
        </is>
      </c>
      <c r="F157" s="6" t="n">
        <v>1200</v>
      </c>
      <c r="G157" s="7">
        <f>D157*F157</f>
        <v/>
      </c>
      <c r="H157" s="7">
        <f>G157*(1+0.18)</f>
        <v/>
      </c>
    </row>
    <row r="158">
      <c r="A158" t="inlineStr">
        <is>
          <t>CA23</t>
        </is>
      </c>
      <c r="B158" s="5" t="inlineStr">
        <is>
          <t>Parking light conduit in the 1st-floor slab, with junction boxes</t>
        </is>
      </c>
      <c r="C158" s="5" t="inlineStr">
        <is>
          <t>20 mm FRLS</t>
        </is>
      </c>
      <c r="D158" s="6" t="n">
        <v>486</v>
      </c>
      <c r="E158" t="inlineStr">
        <is>
          <t>rft</t>
        </is>
      </c>
      <c r="F158" s="6" t="n">
        <v>40</v>
      </c>
      <c r="G158" s="7">
        <f>D158*F158</f>
        <v/>
      </c>
      <c r="H158" s="7">
        <f>G158*(1+0.18)</f>
        <v/>
      </c>
    </row>
    <row r="159">
      <c r="A159" t="inlineStr">
        <is>
          <t>CA24</t>
        </is>
      </c>
      <c r="B159" s="5" t="inlineStr">
        <is>
          <t>Parking light wiring 1.5 sq mm FR-LSH</t>
        </is>
      </c>
      <c r="C159" s="5" t="inlineStr">
        <is>
          <t>Polycab</t>
        </is>
      </c>
      <c r="D159" s="6" t="n">
        <v>1530.9</v>
      </c>
      <c r="E159" t="inlineStr">
        <is>
          <t>rft</t>
        </is>
      </c>
      <c r="F159" s="6" t="n">
        <v>6</v>
      </c>
      <c r="G159" s="7">
        <f>D159*F159</f>
        <v/>
      </c>
      <c r="H159" s="7">
        <f>G159*(1+0.1801)</f>
        <v/>
      </c>
    </row>
    <row r="160">
      <c r="A160" t="inlineStr">
        <is>
          <t>CA25</t>
        </is>
      </c>
      <c r="B160" s="5" t="inlineStr">
        <is>
          <t>Occupancy sensors + timer for the parking lights</t>
        </is>
      </c>
      <c r="C160" s="5" t="n"/>
      <c r="D160" s="6" t="n">
        <v>2</v>
      </c>
      <c r="E160" t="inlineStr">
        <is>
          <t>nos</t>
        </is>
      </c>
      <c r="F160" s="6" t="n">
        <v>3500</v>
      </c>
      <c r="G160" s="7">
        <f>D160*F160</f>
        <v/>
      </c>
      <c r="H160" s="7">
        <f>G160*(1+0.18)</f>
        <v/>
      </c>
    </row>
    <row r="161">
      <c r="A161" t="inlineStr">
        <is>
          <t>CA26</t>
        </is>
      </c>
      <c r="B161" s="5" t="inlineStr">
        <is>
          <t>Lift-lobby floor-number sign plates, SS etched</t>
        </is>
      </c>
      <c r="C161" s="5" t="n"/>
      <c r="D161" s="6" t="n">
        <v>5</v>
      </c>
      <c r="E161" t="inlineStr">
        <is>
          <t>nos</t>
        </is>
      </c>
      <c r="F161" s="6" t="n">
        <v>1500</v>
      </c>
      <c r="G161" s="7">
        <f>D161*F161</f>
        <v/>
      </c>
      <c r="H161" s="7">
        <f>G161*(1+0.18)</f>
        <v/>
      </c>
    </row>
    <row r="162">
      <c r="A162" t="inlineStr">
        <is>
          <t>CA27</t>
        </is>
      </c>
      <c r="B162" s="5" t="inlineStr">
        <is>
          <t>Parking false ceiling at beam soffit (7′6″), moisture-resistant board on GI frame</t>
        </is>
      </c>
      <c r="C162" s="5" t="inlineStr">
        <is>
          <t>Cement / calcium-silicate board, flat</t>
        </is>
      </c>
      <c r="D162" s="6" t="n">
        <v>4113.38</v>
      </c>
      <c r="E162" t="inlineStr">
        <is>
          <t>sft</t>
        </is>
      </c>
      <c r="F162" s="6" t="n">
        <v>110</v>
      </c>
      <c r="G162" s="7">
        <f>D162*F162</f>
        <v/>
      </c>
      <c r="H162" s="7">
        <f>G162*(1+0.18)</f>
        <v/>
      </c>
    </row>
    <row r="163">
      <c r="A163" t="inlineStr">
        <is>
          <t>CA28</t>
        </is>
      </c>
      <c r="B163" s="5" t="inlineStr">
        <is>
          <t>Parking ceiling: exterior emulsion on the board</t>
        </is>
      </c>
      <c r="C163" s="5" t="n"/>
      <c r="D163" s="6" t="n">
        <v>3917.5</v>
      </c>
      <c r="E163" t="inlineStr">
        <is>
          <t>sft</t>
        </is>
      </c>
      <c r="F163" s="6" t="n">
        <v>25</v>
      </c>
      <c r="G163" s="7">
        <f>D163*F163</f>
        <v/>
      </c>
      <c r="H163" s="7">
        <f>G163*(1+0.18)</f>
        <v/>
      </c>
    </row>
    <row r="164">
      <c r="A164" t="inlineStr">
        <is>
          <t>CA29</t>
        </is>
      </c>
      <c r="B164" s="5" t="inlineStr">
        <is>
          <t>Slab soffit above the parking ceiling: skim + primer</t>
        </is>
      </c>
      <c r="C164" s="5" t="n"/>
      <c r="D164" s="6" t="n">
        <v>3917.5</v>
      </c>
      <c r="E164" t="inlineStr">
        <is>
          <t>sft</t>
        </is>
      </c>
      <c r="F164" s="6" t="n">
        <v>10</v>
      </c>
      <c r="G164" s="7">
        <f>D164*F164</f>
        <v/>
      </c>
      <c r="H164" s="7">
        <f>G164*(1+0.18)</f>
        <v/>
      </c>
    </row>
    <row r="165">
      <c r="A165" t="inlineStr">
        <is>
          <t>CA30</t>
        </is>
      </c>
      <c r="B165" s="5" t="inlineStr">
        <is>
          <t>Parking ceiling access panels 2′ × 2′, hinged</t>
        </is>
      </c>
      <c r="C165" s="5" t="n"/>
      <c r="D165" s="6" t="n">
        <v>16</v>
      </c>
      <c r="E165" t="inlineStr">
        <is>
          <t>nos</t>
        </is>
      </c>
      <c r="F165" s="6" t="n">
        <v>1500</v>
      </c>
      <c r="G165" s="7">
        <f>D165*F165</f>
        <v/>
      </c>
      <c r="H165" s="7">
        <f>G165*(1+0.18)</f>
        <v/>
      </c>
    </row>
    <row r="166">
      <c r="A166" t="inlineStr">
        <is>
          <t>CA31</t>
        </is>
      </c>
      <c r="B166" s="5" t="inlineStr">
        <is>
          <t>Stilt columns: plaster + paint all faces to the beam soffit</t>
        </is>
      </c>
      <c r="C166" s="5" t="inlineStr">
        <is>
          <t>Or 4′ granite / tile dado on the drive faces (to decide)</t>
        </is>
      </c>
      <c r="D166" s="6" t="n">
        <v>1242.33</v>
      </c>
      <c r="E166" t="inlineStr">
        <is>
          <t>sft</t>
        </is>
      </c>
      <c r="F166" s="6" t="n">
        <v>60</v>
      </c>
      <c r="G166" s="7">
        <f>D166*F166</f>
        <v/>
      </c>
      <c r="H166" s="7">
        <f>G166*(1+0.18)</f>
        <v/>
      </c>
    </row>
    <row r="167">
      <c r="A167" t="inlineStr">
        <is>
          <t>CA32</t>
        </is>
      </c>
      <c r="B167" s="5" t="inlineStr">
        <is>
          <t>Rubber corner guards 1.2 m on drive-edge columns</t>
        </is>
      </c>
      <c r="C167" s="5" t="n"/>
      <c r="D167" s="6" t="n">
        <v>32</v>
      </c>
      <c r="E167" t="inlineStr">
        <is>
          <t>nos</t>
        </is>
      </c>
      <c r="F167" s="6" t="n">
        <v>1500</v>
      </c>
      <c r="G167" s="7">
        <f>D167*F167</f>
        <v/>
      </c>
      <c r="H167" s="7">
        <f>G167*(1+0.18)</f>
        <v/>
      </c>
    </row>
    <row r="168">
      <c r="A168" t="inlineStr">
        <is>
          <t>CA33</t>
        </is>
      </c>
      <c r="B168" s="5" t="inlineStr">
        <is>
          <t>Wheel stoppers, rubber, one per bay</t>
        </is>
      </c>
      <c r="C168" s="5" t="n"/>
      <c r="D168" s="6" t="n">
        <v>20</v>
      </c>
      <c r="E168" t="inlineStr">
        <is>
          <t>nos</t>
        </is>
      </c>
      <c r="F168" s="6" t="n">
        <v>1200</v>
      </c>
      <c r="G168" s="7">
        <f>D168*F168</f>
        <v/>
      </c>
      <c r="H168" s="7">
        <f>G168*(1+0.18)</f>
        <v/>
      </c>
    </row>
    <row r="169">
      <c r="A169" t="inlineStr">
        <is>
          <t>CA34</t>
        </is>
      </c>
      <c r="B169" s="5" t="inlineStr">
        <is>
          <t>Bay marking, numbering and arrows</t>
        </is>
      </c>
      <c r="C169" s="5" t="inlineStr">
        <is>
          <t>Thermoplastic road-marking paint</t>
        </is>
      </c>
      <c r="D169" s="6" t="n">
        <v>20</v>
      </c>
      <c r="E169" t="inlineStr">
        <is>
          <t>bays</t>
        </is>
      </c>
      <c r="F169" s="6" t="n">
        <v>2000</v>
      </c>
      <c r="G169" s="7">
        <f>D169*F169</f>
        <v/>
      </c>
      <c r="H169" s="7">
        <f>G169*(1+0.18)</f>
        <v/>
      </c>
    </row>
    <row r="170">
      <c r="A170" t="inlineStr">
        <is>
          <t>CA35</t>
        </is>
      </c>
      <c r="B170" s="5" t="inlineStr">
        <is>
          <t>Convex traffic mirrors at entry and exit</t>
        </is>
      </c>
      <c r="C170" s="5" t="n"/>
      <c r="D170" s="6" t="n">
        <v>2</v>
      </c>
      <c r="E170" t="inlineStr">
        <is>
          <t>nos</t>
        </is>
      </c>
      <c r="F170" s="6" t="n">
        <v>6000</v>
      </c>
      <c r="G170" s="7">
        <f>D170*F170</f>
        <v/>
      </c>
      <c r="H170" s="7">
        <f>G170*(1+0.18)</f>
        <v/>
      </c>
    </row>
    <row r="171">
      <c r="A171" t="inlineStr">
        <is>
          <t>CA36</t>
        </is>
      </c>
      <c r="B171" s="5" t="inlineStr">
        <is>
          <t>Stone walkways: Sadarahalli flamed 30 mm on PCC (west setback + across the drive)</t>
        </is>
      </c>
      <c r="C171" s="5" t="inlineStr">
        <is>
          <t>Laid flush with the drive</t>
        </is>
      </c>
      <c r="D171" s="6" t="n">
        <v>265.1</v>
      </c>
      <c r="E171" t="inlineStr">
        <is>
          <t>sft</t>
        </is>
      </c>
      <c r="F171" s="6" t="n">
        <v>220</v>
      </c>
      <c r="G171" s="7">
        <f>D171*F171</f>
        <v/>
      </c>
      <c r="H171" s="7">
        <f>G171*(1+0.18)</f>
        <v/>
      </c>
    </row>
    <row r="172">
      <c r="A172" t="inlineStr">
        <is>
          <t>CA37</t>
        </is>
      </c>
      <c r="B172" s="5" t="inlineStr">
        <is>
          <t>Black granite flamed 30 mm edge strips 4″ along the walkways</t>
        </is>
      </c>
      <c r="C172" s="5" t="n"/>
      <c r="D172" s="6" t="n">
        <v>161.7</v>
      </c>
      <c r="E172" t="inlineStr">
        <is>
          <t>rft</t>
        </is>
      </c>
      <c r="F172" s="6" t="n">
        <v>120</v>
      </c>
      <c r="G172" s="7">
        <f>D172*F172</f>
        <v/>
      </c>
      <c r="H172" s="7">
        <f>G172*(1+0.18)</f>
        <v/>
      </c>
    </row>
    <row r="173">
      <c r="A173" t="inlineStr">
        <is>
          <t>CA38</t>
        </is>
      </c>
      <c r="B173" s="5" t="inlineStr">
        <is>
          <t>Planter boxes 1′6″ × 2′ against the north and south compound walls, waterproofed, with soil and plants</t>
        </is>
      </c>
      <c r="C173" s="5" t="inlineStr">
        <is>
          <t>RCC / brick box</t>
        </is>
      </c>
      <c r="D173" s="6" t="n">
        <v>188.8</v>
      </c>
      <c r="E173" t="inlineStr">
        <is>
          <t>rft</t>
        </is>
      </c>
      <c r="F173" s="6" t="n">
        <v>1400</v>
      </c>
      <c r="G173" s="7">
        <f>D173*F173</f>
        <v/>
      </c>
      <c r="H173" s="7">
        <f>G173*(1+0.18)</f>
        <v/>
      </c>
    </row>
    <row r="174">
      <c r="A174" t="inlineStr">
        <is>
          <t>CA39</t>
        </is>
      </c>
      <c r="B174" s="5" t="inlineStr">
        <is>
          <t>Letter boxes (10), building name board, floor directory, flat number plates</t>
        </is>
      </c>
      <c r="C174" s="5" t="inlineStr">
        <is>
          <t>SS / powder-coated; backlit name board</t>
        </is>
      </c>
      <c r="D174" s="6" t="n">
        <v>1</v>
      </c>
      <c r="E174" t="inlineStr">
        <is>
          <t>set</t>
        </is>
      </c>
      <c r="F174" s="6" t="n">
        <v>105000</v>
      </c>
      <c r="G174" s="7">
        <f>D174*F174</f>
        <v/>
      </c>
      <c r="H174" s="7">
        <f>G174*(1+0.18)</f>
        <v/>
      </c>
    </row>
    <row r="175">
      <c r="A175" t="inlineStr">
        <is>
          <t>CA40</t>
        </is>
      </c>
      <c r="B175" s="5" t="inlineStr">
        <is>
          <t>Stilt waiting area: SS bench 5′ + stone pad 7′ × 4′ with black border</t>
        </is>
      </c>
      <c r="C175" s="5" t="n"/>
      <c r="D175" s="6" t="n">
        <v>1</v>
      </c>
      <c r="E175" t="inlineStr">
        <is>
          <t>set</t>
        </is>
      </c>
      <c r="F175" s="6" t="n">
        <v>45000</v>
      </c>
      <c r="G175" s="7">
        <f>D175*F175</f>
        <v/>
      </c>
      <c r="H175" s="7">
        <f>G175*(1+0.18)</f>
        <v/>
      </c>
    </row>
    <row r="176">
      <c r="A176" t="inlineStr">
        <is>
          <t>CA41</t>
        </is>
      </c>
      <c r="B176" s="5" t="inlineStr">
        <is>
          <t>Video door-phone call panel at the stilt lift landing (10 buttons, camera) + CAT6 riser</t>
        </is>
      </c>
      <c r="C176" s="5" t="n"/>
      <c r="D176" s="6" t="n">
        <v>1</v>
      </c>
      <c r="E176" t="inlineStr">
        <is>
          <t>set</t>
        </is>
      </c>
      <c r="F176" s="6" t="n">
        <v>63000</v>
      </c>
      <c r="G176" s="7">
        <f>D176*F176</f>
        <v/>
      </c>
      <c r="H176" s="7">
        <f>G176*(1+0.18)</f>
        <v/>
      </c>
    </row>
    <row r="177">
      <c r="A177" t="inlineStr">
        <is>
          <t>CA42</t>
        </is>
      </c>
      <c r="B177" s="5" t="inlineStr">
        <is>
          <t>Electrical room door under the stair, MS louvred 3′ × 7′</t>
        </is>
      </c>
      <c r="C177" s="5" t="n"/>
      <c r="D177" s="6" t="n">
        <v>1</v>
      </c>
      <c r="E177" t="inlineStr">
        <is>
          <t>nos</t>
        </is>
      </c>
      <c r="F177" s="6" t="n">
        <v>12000</v>
      </c>
      <c r="G177" s="7">
        <f>D177*F177</f>
        <v/>
      </c>
      <c r="H177" s="7">
        <f>G177*(1+0.18)</f>
        <v/>
      </c>
    </row>
    <row r="178">
      <c r="A178" t="inlineStr">
        <is>
          <t>CA43</t>
        </is>
      </c>
      <c r="B178" s="5" t="inlineStr">
        <is>
          <t>Fire extinguishers ABC 4 kg at each lobby (5) + stilt set (2 × ABC 6 kg + sand bucket)</t>
        </is>
      </c>
      <c r="C178" s="5" t="n"/>
      <c r="D178" s="6" t="n">
        <v>1</v>
      </c>
      <c r="E178" t="inlineStr">
        <is>
          <t>LS</t>
        </is>
      </c>
      <c r="F178" s="6" t="n">
        <v>22500</v>
      </c>
      <c r="G178" s="7">
        <f>D178*F178</f>
        <v/>
      </c>
      <c r="H178" s="7">
        <f>G178*(1+0.18)</f>
        <v/>
      </c>
    </row>
    <row r="179">
      <c r="A179" t="inlineStr">
        <is>
          <t>CA44</t>
        </is>
      </c>
      <c r="B179" s="5" t="inlineStr">
        <is>
          <t>Stilt parking floor: VDF trowel finish with floor hardener, grooves on the drive</t>
        </is>
      </c>
      <c r="C179" s="5" t="inlineStr">
        <is>
          <t>On the M25 slab on grade</t>
        </is>
      </c>
      <c r="D179" s="6" t="n">
        <v>4011.74</v>
      </c>
      <c r="E179" t="inlineStr">
        <is>
          <t>sft</t>
        </is>
      </c>
      <c r="F179" s="6" t="n">
        <v>42</v>
      </c>
      <c r="G179" s="7">
        <f>D179*F179</f>
        <v/>
      </c>
      <c r="H179" s="7">
        <f>G179*(1+0.18)</f>
        <v/>
      </c>
    </row>
    <row r="180">
      <c r="A180" t="inlineStr">
        <is>
          <t>TL03</t>
        </is>
      </c>
      <c r="B180" s="5" t="inlineStr">
        <is>
          <t>Balcony anti-skid 600 × 600 (+10%)</t>
        </is>
      </c>
      <c r="C180" s="5" t="inlineStr">
        <is>
          <t>Incl. the full-width north balconies (D-111); Flat-02 east balcony removed (D-113)</t>
        </is>
      </c>
      <c r="D180" s="6" t="n">
        <v>1380</v>
      </c>
      <c r="E180" t="inlineStr">
        <is>
          <t>sft</t>
        </is>
      </c>
      <c r="F180" s="6" t="n">
        <v>44.07</v>
      </c>
      <c r="G180" s="7">
        <f>D180*F180</f>
        <v/>
      </c>
      <c r="H180" s="7">
        <f>G180*(1+0.18)</f>
        <v/>
      </c>
    </row>
    <row r="181">
      <c r="A181" t="inlineStr">
        <is>
          <t>TL12</t>
        </is>
      </c>
      <c r="B181" s="5" t="inlineStr">
        <is>
          <t>Cement OPC 53 for 40 mm floor screed 1:4</t>
        </is>
      </c>
      <c r="C181" s="5" t="inlineStr">
        <is>
          <t>16650 sft net floor × 40 mm; dry volume ×1.27; 1 bag = 1.226 cft</t>
        </is>
      </c>
      <c r="D181" s="6" t="n">
        <v>34.14</v>
      </c>
      <c r="E181" t="inlineStr">
        <is>
          <t>bags</t>
        </is>
      </c>
      <c r="F181" s="6" t="n">
        <v>420</v>
      </c>
      <c r="G181" s="7">
        <f>D181*F181</f>
        <v/>
      </c>
      <c r="H181" s="7">
        <f>G181*(1+0.18)</f>
        <v/>
      </c>
    </row>
    <row r="182">
      <c r="A182" t="inlineStr">
        <is>
          <t>TL13</t>
        </is>
      </c>
      <c r="B182" s="5" t="inlineStr">
        <is>
          <t>River / M-sand for screed</t>
        </is>
      </c>
      <c r="C182" s="5" t="inlineStr">
        <is>
          <t>4 parts of the dry volume</t>
        </is>
      </c>
      <c r="D182" s="6" t="n">
        <v>167.29</v>
      </c>
      <c r="E182" t="inlineStr">
        <is>
          <t>cft</t>
        </is>
      </c>
      <c r="F182" s="6" t="n">
        <v>65</v>
      </c>
      <c r="G182" s="7">
        <f>D182*F182</f>
        <v/>
      </c>
      <c r="H182" s="7">
        <f>G182*(1+0.18)</f>
        <v/>
      </c>
    </row>
    <row r="183">
      <c r="A183" t="inlineStr">
        <is>
          <t>TL14</t>
        </is>
      </c>
      <c r="B183" s="5" t="inlineStr">
        <is>
          <t>Tile adhesive C2 (large format, floors)</t>
        </is>
      </c>
      <c r="C183" s="5" t="inlineStr">
        <is>
          <t>≈ 43 sft per 20 kg bag at 5 kg/m²</t>
        </is>
      </c>
      <c r="D183" s="6" t="n">
        <v>29.24</v>
      </c>
      <c r="E183" t="inlineStr">
        <is>
          <t>bags</t>
        </is>
      </c>
      <c r="F183" s="6" t="n">
        <v>650</v>
      </c>
      <c r="G183" s="7">
        <f>D183*F183</f>
        <v/>
      </c>
      <c r="H183" s="7">
        <f>G183*(1+0.18)</f>
        <v/>
      </c>
    </row>
    <row r="184">
      <c r="A184" t="inlineStr">
        <is>
          <t>TL17</t>
        </is>
      </c>
      <c r="B184" s="5" t="inlineStr">
        <is>
          <t>Cementitious grout (living areas, balconies, utility)</t>
        </is>
      </c>
      <c r="C184" s="5" t="inlineStr">
        <is>
          <t>≈ 1 kg per 60 sft</t>
        </is>
      </c>
      <c r="D184" s="6" t="n">
        <v>22.36</v>
      </c>
      <c r="E184" t="inlineStr">
        <is>
          <t>kg</t>
        </is>
      </c>
      <c r="F184" s="6" t="n">
        <v>90</v>
      </c>
      <c r="G184" s="7">
        <f>D184*F184</f>
        <v/>
      </c>
      <c r="H184" s="7">
        <f>G184*(1+0.1804)</f>
        <v/>
      </c>
    </row>
    <row r="185">
      <c r="A185" t="inlineStr">
        <is>
          <t>TL18</t>
        </is>
      </c>
      <c r="B185" s="5" t="inlineStr">
        <is>
          <t>Levelling clips, wedges and spacers</t>
        </is>
      </c>
      <c r="C185" s="5" t="inlineStr">
        <is>
          <t>Large-format floors and walls</t>
        </is>
      </c>
      <c r="D185" s="6" t="n">
        <v>1878.11</v>
      </c>
      <c r="E185" t="inlineStr">
        <is>
          <t>sft</t>
        </is>
      </c>
      <c r="F185" s="6" t="n">
        <v>3</v>
      </c>
      <c r="G185" s="7">
        <f>D185*F185</f>
        <v/>
      </c>
      <c r="H185" s="7">
        <f>G185*(1+0.1802)</f>
        <v/>
      </c>
    </row>
    <row r="186">
      <c r="A186" t="inlineStr">
        <is>
          <t>TL19</t>
        </is>
      </c>
      <c r="B186" s="5" t="inlineStr">
        <is>
          <t>Floor screed laying labour</t>
        </is>
      </c>
      <c r="C186" s="5" t="inlineStr">
        <is>
          <t>40 mm cement-sand screed</t>
        </is>
      </c>
      <c r="D186" s="6" t="n">
        <v>1254.68</v>
      </c>
      <c r="E186" t="inlineStr">
        <is>
          <t>sft</t>
        </is>
      </c>
      <c r="F186" s="6" t="n">
        <v>12</v>
      </c>
      <c r="G186" s="7">
        <f>D186*F186</f>
        <v/>
      </c>
      <c r="H186" s="7">
        <f>G186*(1+0.18)</f>
        <v/>
      </c>
    </row>
    <row r="187">
      <c r="A187" t="inlineStr">
        <is>
          <t>TL21</t>
        </is>
      </c>
      <c r="B187" s="5" t="inlineStr">
        <is>
          <t>Laying 600 × 600 / 300 × 600 / 300 × 300 floor tile</t>
        </is>
      </c>
      <c r="C187" s="5" t="inlineStr">
        <is>
          <t>Incl. falls to drains</t>
        </is>
      </c>
      <c r="D187" s="6" t="n">
        <v>1300.8</v>
      </c>
      <c r="E187" t="inlineStr">
        <is>
          <t>sft</t>
        </is>
      </c>
      <c r="F187" s="6" t="n">
        <v>35</v>
      </c>
      <c r="G187" s="7">
        <f>D187*F187</f>
        <v/>
      </c>
      <c r="H187" s="7">
        <f>G187*(1+0.18)</f>
        <v/>
      </c>
    </row>
    <row r="188">
      <c r="A188" t="inlineStr">
        <is>
          <t>GR02</t>
        </is>
      </c>
      <c r="B188" s="5" t="inlineStr">
        <is>
          <t>Kitchen window sills, granite 6″</t>
        </is>
      </c>
      <c r="C188" s="5" t="n"/>
      <c r="D188" s="6" t="n">
        <v>30</v>
      </c>
      <c r="E188" t="inlineStr">
        <is>
          <t>sft</t>
        </is>
      </c>
      <c r="F188" s="6" t="n">
        <v>220</v>
      </c>
      <c r="G188" s="7">
        <f>D188*F188</f>
        <v/>
      </c>
      <c r="H188" s="7">
        <f>G188*(1+0.18)</f>
        <v/>
      </c>
    </row>
    <row r="189">
      <c r="A189" t="inlineStr">
        <is>
          <t>GR08</t>
        </is>
      </c>
      <c r="B189" s="5" t="inlineStr">
        <is>
          <t>Granite cutting, fixing, edge polishing labour (platforms, sills, thresholds, coping)</t>
        </is>
      </c>
      <c r="C189" s="5" t="inlineStr">
        <is>
          <t>If the supplier's rates are supply-only</t>
        </is>
      </c>
      <c r="D189" s="6" t="n">
        <v>153.7</v>
      </c>
      <c r="E189" t="inlineStr">
        <is>
          <t>sft</t>
        </is>
      </c>
      <c r="F189" s="6" t="n">
        <v>35</v>
      </c>
      <c r="G189" s="7">
        <f>D189*F189</f>
        <v/>
      </c>
      <c r="H189" s="7">
        <f>G189*(1+0.1799)</f>
        <v/>
      </c>
    </row>
    <row r="190">
      <c r="A190" t="inlineStr">
        <is>
          <t>GR09</t>
        </is>
      </c>
      <c r="B190" s="5" t="inlineStr">
        <is>
          <t>Granite sills 6″ at all other windows and ventilators (W1, W3, V1, LV; D-118 mix)</t>
        </is>
      </c>
      <c r="C190" s="5" t="inlineStr">
        <is>
          <t>Black granite, inside face</t>
        </is>
      </c>
      <c r="D190" s="6" t="n">
        <v>388</v>
      </c>
      <c r="E190" t="inlineStr">
        <is>
          <t>rft</t>
        </is>
      </c>
      <c r="F190" s="6" t="n">
        <v>140</v>
      </c>
      <c r="G190" s="7">
        <f>D190*F190</f>
        <v/>
      </c>
      <c r="H190" s="7">
        <f>G190*(1+0.18)</f>
        <v/>
      </c>
    </row>
    <row r="191">
      <c r="A191" t="inlineStr">
        <is>
          <t>CA03</t>
        </is>
      </c>
      <c r="B191" s="5" t="inlineStr">
        <is>
          <t>Black granite skirting 4″</t>
        </is>
      </c>
      <c r="C191" s="5" t="inlineStr">
        <is>
          <t>Moisture-proof panels on framing, with trims; installed · Kelvin Craft / Jamex</t>
        </is>
      </c>
      <c r="D191" s="6" t="n">
        <v>134.29</v>
      </c>
      <c r="E191" t="inlineStr">
        <is>
          <t>rft</t>
        </is>
      </c>
      <c r="F191" s="6" t="n">
        <v>90</v>
      </c>
      <c r="G191" s="7">
        <f>D191*F191</f>
        <v/>
      </c>
      <c r="H191" s="7">
        <f>G191*(1+0.18)</f>
        <v/>
      </c>
    </row>
    <row r="192">
      <c r="B192" s="8" t="inlineStr">
        <is>
          <t>Sub-total · Lobbies, stair and stilt: granite, tiles, ceilings</t>
        </is>
      </c>
      <c r="G192" s="9">
        <f>SUM(G136:G191)</f>
        <v/>
      </c>
      <c r="H192" s="9">
        <f>SUM(H136:H191)</f>
        <v/>
      </c>
    </row>
    <row r="194">
      <c r="A194" s="3" t="inlineStr">
        <is>
          <t>Plumbing, drainage, water supply, sumps and tanks</t>
        </is>
      </c>
      <c r="B194" s="4" t="n"/>
      <c r="C194" s="4" t="n"/>
      <c r="D194" s="4" t="n"/>
      <c r="E194" s="4" t="n"/>
      <c r="F194" s="4" t="n"/>
      <c r="G194" s="4" t="n"/>
      <c r="H194" s="4" t="n"/>
    </row>
    <row r="195">
      <c r="A195" t="inlineStr">
        <is>
          <t>PI01</t>
        </is>
      </c>
      <c r="B195" s="5" t="inlineStr">
        <is>
          <t>Ashirvad CPVC SDR 11 ¾″</t>
        </is>
      </c>
      <c r="C195" s="5" t="inlineStr">
        <is>
          <t>Riser to each wet room, with ball valve · Ashirvad</t>
        </is>
      </c>
      <c r="D195" s="6" t="n">
        <v>450</v>
      </c>
      <c r="E195" t="inlineStr">
        <is>
          <t>ft</t>
        </is>
      </c>
      <c r="F195" s="6" t="n">
        <v>45</v>
      </c>
      <c r="G195" s="7">
        <f>D195*F195</f>
        <v/>
      </c>
      <c r="H195" s="7">
        <f>G195*(1+0.18)</f>
        <v/>
      </c>
    </row>
    <row r="196">
      <c r="A196" t="inlineStr">
        <is>
          <t>PE02</t>
        </is>
      </c>
      <c r="B196" s="5" t="inlineStr">
        <is>
          <t>SWR 110 mm Type B soil stack</t>
        </is>
      </c>
      <c r="C196" s="5" t="inlineStr">
        <is>
          <t>7 stacks × 62 ft · Ashirvad</t>
        </is>
      </c>
      <c r="D196" s="6" t="n">
        <v>434</v>
      </c>
      <c r="E196" t="inlineStr">
        <is>
          <t>ft</t>
        </is>
      </c>
      <c r="F196" s="6" t="n">
        <v>135</v>
      </c>
      <c r="G196" s="7">
        <f>D196*F196</f>
        <v/>
      </c>
      <c r="H196" s="7">
        <f>G196*(1+0.18)</f>
        <v/>
      </c>
    </row>
    <row r="197">
      <c r="A197" t="inlineStr">
        <is>
          <t>PE03</t>
        </is>
      </c>
      <c r="B197" s="5" t="inlineStr">
        <is>
          <t>SWR 75 mm Type B waste stack</t>
        </is>
      </c>
      <c r="C197" s="5" t="inlineStr">
        <is>
          <t>9 stacks × 62 ft · Ashirvad</t>
        </is>
      </c>
      <c r="D197" s="6" t="n">
        <v>558</v>
      </c>
      <c r="E197" t="inlineStr">
        <is>
          <t>ft</t>
        </is>
      </c>
      <c r="F197" s="6" t="n">
        <v>90</v>
      </c>
      <c r="G197" s="7">
        <f>D197*F197</f>
        <v/>
      </c>
      <c r="H197" s="7">
        <f>G197*(1+0.18)</f>
        <v/>
      </c>
    </row>
    <row r="198">
      <c r="A198" t="inlineStr">
        <is>
          <t>PE04</t>
        </is>
      </c>
      <c r="B198" s="5" t="inlineStr">
        <is>
          <t>SWR 75 mm Type A vent pipe with cowl</t>
        </is>
      </c>
      <c r="C198" s="5" t="inlineStr">
        <is>
          <t>7 stacks × 62 ft · Ashirvad</t>
        </is>
      </c>
      <c r="D198" s="6" t="n">
        <v>434</v>
      </c>
      <c r="E198" t="inlineStr">
        <is>
          <t>ft</t>
        </is>
      </c>
      <c r="F198" s="6" t="n">
        <v>80</v>
      </c>
      <c r="G198" s="7">
        <f>D198*F198</f>
        <v/>
      </c>
      <c r="H198" s="7">
        <f>G198*(1+0.18)</f>
        <v/>
      </c>
    </row>
    <row r="199">
      <c r="A199" t="inlineStr">
        <is>
          <t>PE05</t>
        </is>
      </c>
      <c r="B199" s="5" t="inlineStr">
        <is>
          <t>Stack fittings (branch tees, door bends, cleaning eyes, clamps)</t>
        </is>
      </c>
      <c r="C199" s="5" t="inlineStr">
        <is>
          <t>Per floor per duct + base</t>
        </is>
      </c>
      <c r="D199" s="6" t="n">
        <v>320</v>
      </c>
      <c r="E199" t="inlineStr">
        <is>
          <t>nos</t>
        </is>
      </c>
      <c r="F199" s="6" t="n">
        <v>180</v>
      </c>
      <c r="G199" s="7">
        <f>D199*F199</f>
        <v/>
      </c>
      <c r="H199" s="7">
        <f>G199*(1+0.18)</f>
        <v/>
      </c>
    </row>
    <row r="200">
      <c r="A200" t="inlineStr">
        <is>
          <t>DR01</t>
        </is>
      </c>
      <c r="B200" s="5" t="inlineStr">
        <is>
          <t>Ashirvad SWR 110 mm Type B</t>
        </is>
      </c>
      <c r="C200" s="5" t="inlineStr">
        <is>
          <t>WC branches to the stack (through the slab sleeve, hung below the slab) · Ashirvad</t>
        </is>
      </c>
      <c r="D200" s="6" t="n">
        <v>378</v>
      </c>
      <c r="E200" t="inlineStr">
        <is>
          <t>ft</t>
        </is>
      </c>
      <c r="F200" s="6" t="n">
        <v>125</v>
      </c>
      <c r="G200" s="7">
        <f>D200*F200</f>
        <v/>
      </c>
      <c r="H200" s="7">
        <f>G200*(1+0.18)</f>
        <v/>
      </c>
    </row>
    <row r="201">
      <c r="A201" t="inlineStr">
        <is>
          <t>DR02</t>
        </is>
      </c>
      <c r="B201" s="5" t="inlineStr">
        <is>
          <t>Ashirvad SWR 75 mm Type B</t>
        </is>
      </c>
      <c r="C201" s="5" t="inlineStr">
        <is>
          <t>Shower drains and floor traps · Ashirvad</t>
        </is>
      </c>
      <c r="D201" s="6" t="n">
        <v>644</v>
      </c>
      <c r="E201" t="inlineStr">
        <is>
          <t>ft</t>
        </is>
      </c>
      <c r="F201" s="6" t="n">
        <v>85</v>
      </c>
      <c r="G201" s="7">
        <f>D201*F201</f>
        <v/>
      </c>
      <c r="H201" s="7">
        <f>G201*(1+0.18)</f>
        <v/>
      </c>
    </row>
    <row r="202">
      <c r="A202" t="inlineStr">
        <is>
          <t>DR03</t>
        </is>
      </c>
      <c r="B202" s="5" t="inlineStr">
        <is>
          <t>Ashirvad SWR 50 mm</t>
        </is>
      </c>
      <c r="C202" s="5" t="inlineStr">
        <is>
          <t>Basins, sinks, dishwasher, washing machine · Ashirvad</t>
        </is>
      </c>
      <c r="D202" s="6" t="n">
        <v>789</v>
      </c>
      <c r="E202" t="inlineStr">
        <is>
          <t>ft</t>
        </is>
      </c>
      <c r="F202" s="6" t="n">
        <v>60</v>
      </c>
      <c r="G202" s="7">
        <f>D202*F202</f>
        <v/>
      </c>
      <c r="H202" s="7">
        <f>G202*(1+0.18)</f>
        <v/>
      </c>
    </row>
    <row r="203">
      <c r="A203" t="inlineStr">
        <is>
          <t>DR04</t>
        </is>
      </c>
      <c r="B203" s="5" t="inlineStr">
        <is>
          <t>SWR fittings (bends, tees, reducers)</t>
        </is>
      </c>
      <c r="C203" s="5" t="inlineStr">
        <is>
          <t>≈ 1 per 5 ft · Ashirvad</t>
        </is>
      </c>
      <c r="D203" s="6" t="n">
        <v>356</v>
      </c>
      <c r="E203" t="inlineStr">
        <is>
          <t>nos</t>
        </is>
      </c>
      <c r="F203" s="6" t="n">
        <v>110</v>
      </c>
      <c r="G203" s="7">
        <f>D203*F203</f>
        <v/>
      </c>
      <c r="H203" s="7">
        <f>G203*(1+0.18)</f>
        <v/>
      </c>
    </row>
    <row r="204">
      <c r="A204" t="inlineStr">
        <is>
          <t>IV02</t>
        </is>
      </c>
      <c r="B204" s="5" t="inlineStr">
        <is>
          <t>Ball valve ¾″ (wet-room isolation)</t>
        </is>
      </c>
      <c r="C204" s="5" t="inlineStr">
        <is>
          <t>One per wet room</t>
        </is>
      </c>
      <c r="D204" s="6" t="n">
        <v>84</v>
      </c>
      <c r="E204" t="inlineStr">
        <is>
          <t>nos</t>
        </is>
      </c>
      <c r="F204" s="6" t="n">
        <v>700</v>
      </c>
      <c r="G204" s="7">
        <f>D204*F204</f>
        <v/>
      </c>
      <c r="H204" s="7">
        <f>G204*(1+0.18)</f>
        <v/>
      </c>
    </row>
    <row r="205">
      <c r="A205" t="inlineStr">
        <is>
          <t>PL02</t>
        </is>
      </c>
      <c r="B205" s="5" t="inlineStr">
        <is>
          <t>Drain sleeves through the slab: PVC 75/110/150 mm with puddle flange, set before the pour, grouted</t>
        </is>
      </c>
      <c r="C205" s="5" t="inlineStr">
        <is>
          <t>No sunk slabs (D-84): WC, shower drain, floor trap, basin (utility drains through the wall, D-94)</t>
        </is>
      </c>
      <c r="D205" s="6" t="n">
        <v>166</v>
      </c>
      <c r="E205" t="inlineStr">
        <is>
          <t>nos</t>
        </is>
      </c>
      <c r="F205" s="6" t="n">
        <v>600</v>
      </c>
      <c r="G205" s="7">
        <f>D205*F205</f>
        <v/>
      </c>
      <c r="H205" s="7">
        <f>G205*(1+0.18)</f>
        <v/>
      </c>
    </row>
    <row r="206">
      <c r="A206" t="inlineStr">
        <is>
          <t>PL03</t>
        </is>
      </c>
      <c r="B206" s="5" t="inlineStr">
        <is>
          <t>Below-slab drainage: hanging WC branches, P-traps and floor traps under the slab with GI clamps</t>
        </is>
      </c>
      <c r="C206" s="5" t="inlineStr">
        <is>
          <t>In the false-ceiling void of the toilet below (stilt ceiling for the 1st floor)</t>
        </is>
      </c>
      <c r="D206" s="6" t="n">
        <v>44</v>
      </c>
      <c r="E206" t="inlineStr">
        <is>
          <t>rooms</t>
        </is>
      </c>
      <c r="F206" s="6" t="n">
        <v>0</v>
      </c>
      <c r="G206" s="7">
        <f>D206*F206</f>
        <v/>
      </c>
      <c r="H206" s="7">
        <f>G206*(1+0)</f>
        <v/>
      </c>
    </row>
    <row r="207">
      <c r="A207" t="inlineStr">
        <is>
          <t>XS01</t>
        </is>
      </c>
      <c r="B207" s="5" t="inlineStr">
        <is>
          <t>Municipal transfer pumps 2 HP, 1 working + 1 standby per block</t>
        </is>
      </c>
      <c r="C207" s="5" t="inlineStr">
        <is>
          <t>Kirloskar / CRI (to quote)</t>
        </is>
      </c>
      <c r="D207" s="6" t="n">
        <v>4</v>
      </c>
      <c r="E207" t="inlineStr">
        <is>
          <t>nos</t>
        </is>
      </c>
      <c r="F207" s="6" t="n">
        <v>28000</v>
      </c>
      <c r="G207" s="7">
        <f>D207*F207</f>
        <v/>
      </c>
      <c r="H207" s="7">
        <f>G207*(1+0.18)</f>
        <v/>
      </c>
    </row>
    <row r="208">
      <c r="A208" t="inlineStr">
        <is>
          <t>XS02</t>
        </is>
      </c>
      <c r="B208" s="5" t="inlineStr">
        <is>
          <t>Tanker transfer pumps 3 HP (1 + 1)</t>
        </is>
      </c>
      <c r="C208" s="5" t="inlineStr">
        <is>
          <t>Kirloskar / CRI (to quote)</t>
        </is>
      </c>
      <c r="D208" s="6" t="n">
        <v>2</v>
      </c>
      <c r="E208" t="inlineStr">
        <is>
          <t>nos</t>
        </is>
      </c>
      <c r="F208" s="6" t="n">
        <v>38000</v>
      </c>
      <c r="G208" s="7">
        <f>D208*F208</f>
        <v/>
      </c>
      <c r="H208" s="7">
        <f>G208*(1+0.18)</f>
        <v/>
      </c>
    </row>
    <row r="209">
      <c r="A209" t="inlineStr">
        <is>
          <t>XS02a</t>
        </is>
      </c>
      <c r="B209" s="5" t="inlineStr">
        <is>
          <t>Borewells Bore-W and Bore-E, all-in: drilling, casing, submersible motor + pump, cable</t>
        </is>
      </c>
      <c r="C209" s="5" t="n"/>
      <c r="D209" s="6" t="n">
        <v>2</v>
      </c>
      <c r="E209" t="inlineStr">
        <is>
          <t>nos</t>
        </is>
      </c>
      <c r="F209" s="6" t="n">
        <v>300000</v>
      </c>
      <c r="G209" s="7">
        <f>D209*F209</f>
        <v/>
      </c>
      <c r="H209" s="7">
        <f>G209*(1+0.18)</f>
        <v/>
      </c>
    </row>
    <row r="210">
      <c r="A210" t="inlineStr">
        <is>
          <t>XS02b</t>
        </is>
      </c>
      <c r="B210" s="5" t="inlineStr">
        <is>
          <t>Bore submersible pumps (size after the yield test)</t>
        </is>
      </c>
      <c r="C210" s="5" t="n"/>
      <c r="D210" s="6" t="n">
        <v>0</v>
      </c>
      <c r="E210" t="inlineStr">
        <is>
          <t>nos</t>
        </is>
      </c>
      <c r="F210" s="6" t="n">
        <v>65000</v>
      </c>
      <c r="G210" s="7">
        <f>D210*F210</f>
        <v/>
      </c>
      <c r="H210" s="7">
        <f>G210*(1+0)</f>
        <v/>
      </c>
    </row>
    <row r="211">
      <c r="A211" t="inlineStr">
        <is>
          <t>XS02c</t>
        </is>
      </c>
      <c r="B211" s="5" t="inlineStr">
        <is>
          <t>Raised OHT staging 10 ft (3.05 m) to the tank base + floors 4–5 zone pipes upsized; no booster pumps (Plumbing Rev P1, D-132)</t>
        </is>
      </c>
      <c r="C211" s="5" t="inlineStr">
        <is>
          <t>Gravity supply to every floor: staging columns and ring beam by the structural engineer (≈ 22 t full tank); header 2″, down-takes 1¼″, branches 1″ on floors 4–5; 5th-floor low-pressure showers · Structural engineer / plumber</t>
        </is>
      </c>
      <c r="D211" s="6" t="n">
        <v>1</v>
      </c>
      <c r="E211" t="inlineStr">
        <is>
          <t>LS</t>
        </is>
      </c>
      <c r="F211" s="6" t="n">
        <v>75000</v>
      </c>
      <c r="G211" s="7">
        <f>D211*F211</f>
        <v/>
      </c>
      <c r="H211" s="7">
        <f>G211*(1+0.18)</f>
        <v/>
      </c>
    </row>
    <row r="212">
      <c r="A212" t="inlineStr">
        <is>
          <t>XS02d</t>
        </is>
      </c>
      <c r="B212" s="5" t="inlineStr">
        <is>
          <t>Pump starter panels with float and dry-run controls</t>
        </is>
      </c>
      <c r="C212" s="5" t="n"/>
      <c r="D212" s="6" t="n">
        <v>3</v>
      </c>
      <c r="E212" t="inlineStr">
        <is>
          <t>nos</t>
        </is>
      </c>
      <c r="F212" s="6" t="n">
        <v>35000</v>
      </c>
      <c r="G212" s="7">
        <f>D212*F212</f>
        <v/>
      </c>
      <c r="H212" s="7">
        <f>G212*(1+0.18)</f>
        <v/>
      </c>
    </row>
    <row r="213">
      <c r="A213" t="inlineStr">
        <is>
          <t>XS03</t>
        </is>
      </c>
      <c r="B213" s="5" t="inlineStr">
        <is>
          <t>Rising mains, terrace headers and zoned down-takes, CPVC SDR 11 (½″–2″) incl. fittings</t>
        </is>
      </c>
      <c r="C213" s="5" t="inlineStr">
        <is>
          <t>Bore and municipal systems never connect (D-64) · Ashirvad</t>
        </is>
      </c>
      <c r="D213" s="6" t="n">
        <v>2510</v>
      </c>
      <c r="E213" t="inlineStr">
        <is>
          <t>ft</t>
        </is>
      </c>
      <c r="F213" s="6" t="n">
        <v>120</v>
      </c>
      <c r="G213" s="7">
        <f>D213*F213</f>
        <v/>
      </c>
      <c r="H213" s="7">
        <f>G213*(1+0.18)</f>
        <v/>
      </c>
    </row>
    <row r="214">
      <c r="A214" t="inlineStr">
        <is>
          <t>XS03a</t>
        </is>
      </c>
      <c r="B214" s="5" t="inlineStr">
        <is>
          <t>Valves: ball valve at each down-take top, gate valve + NRV at each pump, float valves / level switches, tank outlet valves</t>
        </is>
      </c>
      <c r="C214" s="5" t="n"/>
      <c r="D214" s="6" t="n">
        <v>45</v>
      </c>
      <c r="E214" t="inlineStr">
        <is>
          <t>nos</t>
        </is>
      </c>
      <c r="F214" s="6" t="n">
        <v>2000</v>
      </c>
      <c r="G214" s="7">
        <f>D214*F214</f>
        <v/>
      </c>
      <c r="H214" s="7">
        <f>G214*(1+0.18)</f>
        <v/>
      </c>
    </row>
    <row r="215">
      <c r="A215" t="inlineStr">
        <is>
          <t>XS04</t>
        </is>
      </c>
      <c r="B215" s="5" t="inlineStr">
        <is>
          <t>HMWSSB connection pipework, meter + valve chamber (2 meters), sump inlets with float valves</t>
        </is>
      </c>
      <c r="C215" s="5" t="inlineStr">
        <is>
          <t>Connection fee by owner (statutory)</t>
        </is>
      </c>
      <c r="D215" s="6" t="n">
        <v>1</v>
      </c>
      <c r="E215" t="inlineStr">
        <is>
          <t>LS</t>
        </is>
      </c>
      <c r="F215" s="6" t="n">
        <v>75000</v>
      </c>
      <c r="G215" s="7">
        <f>D215*F215</f>
        <v/>
      </c>
      <c r="H215" s="7">
        <f>G215*(1+0.18)</f>
        <v/>
      </c>
    </row>
    <row r="216">
      <c r="A216" t="inlineStr">
        <is>
          <t>XS04a</t>
        </is>
      </c>
      <c r="B216" s="5" t="inlineStr">
        <is>
          <t>Tanker inlet 75 mm GI with quick coupling and strainer; sump and tank overflows, scours and vents</t>
        </is>
      </c>
      <c r="C216" s="5" t="n"/>
      <c r="D216" s="6" t="n">
        <v>1</v>
      </c>
      <c r="E216" t="inlineStr">
        <is>
          <t>LS</t>
        </is>
      </c>
      <c r="F216" s="6" t="n">
        <v>45000</v>
      </c>
      <c r="G216" s="7">
        <f>D216*F216</f>
        <v/>
      </c>
      <c r="H216" s="7">
        <f>G216*(1+0.18)</f>
        <v/>
      </c>
    </row>
    <row r="217">
      <c r="A217" t="inlineStr">
        <is>
          <t>XS05</t>
        </is>
      </c>
      <c r="B217" s="5" t="inlineStr">
        <is>
          <t>Rainwater harvesting pits with filter media and recharge bore</t>
        </is>
      </c>
      <c r="C217" s="5" t="inlineStr">
        <is>
          <t>Per GHMC norms</t>
        </is>
      </c>
      <c r="D217" s="6" t="n">
        <v>2</v>
      </c>
      <c r="E217" t="inlineStr">
        <is>
          <t>nos</t>
        </is>
      </c>
      <c r="F217" s="6" t="n">
        <v>80000</v>
      </c>
      <c r="G217" s="7">
        <f>D217*F217</f>
        <v/>
      </c>
      <c r="H217" s="7">
        <f>G217*(1+0.18)</f>
        <v/>
      </c>
    </row>
    <row r="218">
      <c r="A218" t="inlineStr">
        <is>
          <t>XS05a</t>
        </is>
      </c>
      <c r="B218" s="5" t="inlineStr">
        <is>
          <t>Rainwater down pipes 110 mm uPVC from the 4 terrace outlets to the storm drain</t>
        </is>
      </c>
      <c r="C218" s="5" t="inlineStr">
        <is>
          <t>With clamps and shoes</t>
        </is>
      </c>
      <c r="D218" s="6" t="n">
        <v>248</v>
      </c>
      <c r="E218" t="inlineStr">
        <is>
          <t>ft</t>
        </is>
      </c>
      <c r="F218" s="6" t="n">
        <v>180</v>
      </c>
      <c r="G218" s="7">
        <f>D218*F218</f>
        <v/>
      </c>
      <c r="H218" s="7">
        <f>G218*(1+0.18)</f>
        <v/>
      </c>
    </row>
    <row r="219">
      <c r="A219" t="inlineStr">
        <is>
          <t>XS06</t>
        </is>
      </c>
      <c r="B219" s="5" t="inlineStr">
        <is>
          <t>Storm drain: covered RCC U-drain 300 mm, 1:200 fall, with gratings</t>
        </is>
      </c>
      <c r="C219" s="5" t="n"/>
      <c r="D219" s="6" t="n">
        <v>211</v>
      </c>
      <c r="E219" t="inlineStr">
        <is>
          <t>ft</t>
        </is>
      </c>
      <c r="F219" s="6" t="n">
        <v>900</v>
      </c>
      <c r="G219" s="7">
        <f>D219*F219</f>
        <v/>
      </c>
      <c r="H219" s="7">
        <f>G219*(1+0.18)</f>
        <v/>
      </c>
    </row>
    <row r="220">
      <c r="A220" t="inlineStr">
        <is>
          <t>XS07</t>
        </is>
      </c>
      <c r="B220" s="5" t="inlineStr">
        <is>
          <t>Sewer main 150 mm SWR / stoneware, 1:40</t>
        </is>
      </c>
      <c r="C220" s="5" t="n"/>
      <c r="D220" s="6" t="n">
        <v>201</v>
      </c>
      <c r="E220" t="inlineStr">
        <is>
          <t>ft</t>
        </is>
      </c>
      <c r="F220" s="6" t="n">
        <v>450</v>
      </c>
      <c r="G220" s="7">
        <f>D220*F220</f>
        <v/>
      </c>
      <c r="H220" s="7">
        <f>G220*(1+0.18)</f>
        <v/>
      </c>
    </row>
    <row r="221">
      <c r="A221" t="inlineStr">
        <is>
          <t>XS07a</t>
        </is>
      </c>
      <c r="B221" s="5" t="inlineStr">
        <is>
          <t>Inspection chambers 450 × 450 with covers</t>
        </is>
      </c>
      <c r="C221" s="5" t="n"/>
      <c r="D221" s="6" t="n">
        <v>7</v>
      </c>
      <c r="E221" t="inlineStr">
        <is>
          <t>nos</t>
        </is>
      </c>
      <c r="F221" s="6" t="n">
        <v>9000</v>
      </c>
      <c r="G221" s="7">
        <f>D221*F221</f>
        <v/>
      </c>
      <c r="H221" s="7">
        <f>G221*(1+0.18)</f>
        <v/>
      </c>
    </row>
    <row r="222">
      <c r="A222" t="inlineStr">
        <is>
          <t>XS07b</t>
        </is>
      </c>
      <c r="B222" s="5" t="inlineStr">
        <is>
          <t>Inspection chambers 600 × 900 with covers</t>
        </is>
      </c>
      <c r="C222" s="5" t="n"/>
      <c r="D222" s="6" t="n">
        <v>5</v>
      </c>
      <c r="E222" t="inlineStr">
        <is>
          <t>nos</t>
        </is>
      </c>
      <c r="F222" s="6" t="n">
        <v>16000</v>
      </c>
      <c r="G222" s="7">
        <f>D222*F222</f>
        <v/>
      </c>
      <c r="H222" s="7">
        <f>G222*(1+0.18)</f>
        <v/>
      </c>
    </row>
    <row r="223">
      <c r="A223" t="inlineStr">
        <is>
          <t>XS07c</t>
        </is>
      </c>
      <c r="B223" s="5" t="inlineStr">
        <is>
          <t>Manholes 900 × 1200 with covers</t>
        </is>
      </c>
      <c r="C223" s="5" t="n"/>
      <c r="D223" s="6" t="n">
        <v>2</v>
      </c>
      <c r="E223" t="inlineStr">
        <is>
          <t>nos</t>
        </is>
      </c>
      <c r="F223" s="6" t="n">
        <v>28000</v>
      </c>
      <c r="G223" s="7">
        <f>D223*F223</f>
        <v/>
      </c>
      <c r="H223" s="7">
        <f>G223*(1+0.18)</f>
        <v/>
      </c>
    </row>
    <row r="224">
      <c r="B224" s="8" t="inlineStr">
        <is>
          <t>Sub-total · Plumbing, drainage, water supply, sumps and tanks</t>
        </is>
      </c>
      <c r="G224" s="9">
        <f>SUM(G195:G223)</f>
        <v/>
      </c>
      <c r="H224" s="9">
        <f>SUM(H195:H223)</f>
        <v/>
      </c>
    </row>
    <row r="226">
      <c r="A226" s="3" t="inlineStr">
        <is>
          <t>Electrical, generator, security and fire</t>
        </is>
      </c>
      <c r="B226" s="4" t="n"/>
      <c r="C226" s="4" t="n"/>
      <c r="D226" s="4" t="n"/>
      <c r="E226" s="4" t="n"/>
      <c r="F226" s="4" t="n"/>
      <c r="G226" s="4" t="n"/>
      <c r="H226" s="4" t="n"/>
    </row>
    <row r="227">
      <c r="A227" t="inlineStr">
        <is>
          <t>EL02-CP</t>
        </is>
      </c>
      <c r="B227" s="5" t="inlineStr">
        <is>
          <t>COMMON CEILING POINTS: 25 mm conduit in the slab, DB position → each room's ceiling point</t>
        </is>
      </c>
      <c r="C227" s="5" t="inlineStr">
        <is>
          <t>One point per room at the fan position (room centre), home run to the DB position; owner extends in the false ceiling · ISI FRLS PVC (make to quote)</t>
        </is>
      </c>
      <c r="D227" s="6" t="n">
        <v>2963.7</v>
      </c>
      <c r="E227" t="inlineStr">
        <is>
          <t>ft</t>
        </is>
      </c>
      <c r="F227" s="6" t="n">
        <v>18</v>
      </c>
      <c r="G227" s="7">
        <f>D227*F227</f>
        <v/>
      </c>
      <c r="H227" s="7">
        <f>G227*(1+0.18)</f>
        <v/>
      </c>
    </row>
    <row r="228">
      <c r="A228" t="inlineStr">
        <is>
          <t>EL07-CP</t>
        </is>
      </c>
      <c r="B228" s="5" t="inlineStr">
        <is>
          <t>COMMON CEILING POINTS: laying the slab conduits and boxes before each pour, draw wire</t>
        </is>
      </c>
      <c r="C228" s="5" t="inlineStr">
        <is>
          <t>One point per room at the fan position (room centre), home run to the DB position; owner extends in the false ceiling · Legrand / Polycab</t>
        </is>
      </c>
      <c r="D228" s="6" t="n">
        <v>80</v>
      </c>
      <c r="E228" t="inlineStr">
        <is>
          <t>pts</t>
        </is>
      </c>
      <c r="F228" s="6" t="n">
        <v>322.2</v>
      </c>
      <c r="G228" s="7">
        <f>D228*F228</f>
        <v/>
      </c>
      <c r="H228" s="7">
        <f>G228*(1+0.18)</f>
        <v/>
      </c>
    </row>
    <row r="229">
      <c r="A229" t="inlineStr">
        <is>
          <t>EL15-CP</t>
        </is>
      </c>
      <c r="B229" s="5" t="inlineStr">
        <is>
          <t>COMMON CEILING POINTS: ceiling junction boxes with cover (room centre / fan point)</t>
        </is>
      </c>
      <c r="C229" s="5" t="inlineStr">
        <is>
          <t>One point per room at the fan position (room centre), home run to the DB position; owner extends in the false ceiling · Legrand / Polycab</t>
        </is>
      </c>
      <c r="D229" s="6" t="n">
        <v>80</v>
      </c>
      <c r="E229" t="inlineStr">
        <is>
          <t>nos</t>
        </is>
      </c>
      <c r="F229" s="6" t="n">
        <v>220</v>
      </c>
      <c r="G229" s="7">
        <f>D229*F229</f>
        <v/>
      </c>
      <c r="H229" s="7">
        <f>G229*(1+0.18)</f>
        <v/>
      </c>
    </row>
    <row r="230">
      <c r="A230" t="inlineStr">
        <is>
          <t>CE01</t>
        </is>
      </c>
      <c r="B230" s="5" t="inlineStr">
        <is>
          <t>Meter panel for 10 flats + common meters (TSSPDCL approved), weatherproof</t>
        </is>
      </c>
      <c r="C230" s="5" t="n"/>
      <c r="D230" s="6" t="n">
        <v>1</v>
      </c>
      <c r="E230" t="inlineStr">
        <is>
          <t>nos</t>
        </is>
      </c>
      <c r="F230" s="6" t="n">
        <v>150000</v>
      </c>
      <c r="G230" s="7">
        <f>D230*F230</f>
        <v/>
      </c>
      <c r="H230" s="7">
        <f>G230*(1+0.18)</f>
        <v/>
      </c>
    </row>
    <row r="231">
      <c r="A231" t="inlineStr">
        <is>
          <t>CE02</t>
        </is>
      </c>
      <c r="B231" s="5" t="inlineStr">
        <is>
          <t>Common LT panel with MCCB, feeders, lift and pump starters</t>
        </is>
      </c>
      <c r="C231" s="5" t="inlineStr">
        <is>
          <t>L&amp;T / Schneider (to quote)</t>
        </is>
      </c>
      <c r="D231" s="6" t="n">
        <v>1</v>
      </c>
      <c r="E231" t="inlineStr">
        <is>
          <t>nos</t>
        </is>
      </c>
      <c r="F231" s="6" t="n">
        <v>150000</v>
      </c>
      <c r="G231" s="7">
        <f>D231*F231</f>
        <v/>
      </c>
      <c r="H231" s="7">
        <f>G231*(1+0.18)</f>
        <v/>
      </c>
    </row>
    <row r="232">
      <c r="A232" t="inlineStr">
        <is>
          <t>CE03</t>
        </is>
      </c>
      <c r="B232" s="5" t="inlineStr">
        <is>
          <t>Rising mains to flats, 4C × 10 sq mm Al armoured</t>
        </is>
      </c>
      <c r="C232" s="5" t="inlineStr">
        <is>
          <t>Meter panel to each flat DB · Polycab</t>
        </is>
      </c>
      <c r="D232" s="6" t="n">
        <v>267</v>
      </c>
      <c r="E232" t="inlineStr">
        <is>
          <t>m</t>
        </is>
      </c>
      <c r="F232" s="6" t="n">
        <v>550</v>
      </c>
      <c r="G232" s="7">
        <f>D232*F232</f>
        <v/>
      </c>
      <c r="H232" s="7">
        <f>G232*(1+0.18)</f>
        <v/>
      </c>
    </row>
    <row r="233">
      <c r="A233" t="inlineStr">
        <is>
          <t>CE03a</t>
        </is>
      </c>
      <c r="B233" s="5" t="inlineStr">
        <is>
          <t>Service cable 4C × 185 sq mm Al armoured, TSSPDCL point to meter panel (load recalculated on the D-118/D-119 points: ≈ 123 kW, 190 A)</t>
        </is>
      </c>
      <c r="C233" s="5" t="inlineStr">
        <is>
          <t>Polycab</t>
        </is>
      </c>
      <c r="D233" s="6" t="n">
        <v>29</v>
      </c>
      <c r="E233" t="inlineStr">
        <is>
          <t>m</t>
        </is>
      </c>
      <c r="F233" s="6" t="n">
        <v>1480</v>
      </c>
      <c r="G233" s="7">
        <f>D233*F233</f>
        <v/>
      </c>
      <c r="H233" s="7">
        <f>G233*(1+0.18)</f>
        <v/>
      </c>
    </row>
    <row r="234">
      <c r="A234" t="inlineStr">
        <is>
          <t>CE03b</t>
        </is>
      </c>
      <c r="B234" s="5" t="inlineStr">
        <is>
          <t>Feeders 4C/3C × 2.5–6 sq mm Cu armoured (lift, pumps, common DBs, gates, watchman, CCTV, DG)</t>
        </is>
      </c>
      <c r="C234" s="5" t="n"/>
      <c r="D234" s="6" t="n">
        <v>248</v>
      </c>
      <c r="E234" t="inlineStr">
        <is>
          <t>m</t>
        </is>
      </c>
      <c r="F234" s="6" t="n">
        <v>220</v>
      </c>
      <c r="G234" s="7">
        <f>D234*F234</f>
        <v/>
      </c>
      <c r="H234" s="7">
        <f>G234*(1+0.18)</f>
        <v/>
      </c>
    </row>
    <row r="235">
      <c r="A235" t="inlineStr">
        <is>
          <t>CE03c</t>
        </is>
      </c>
      <c r="B235" s="5" t="inlineStr">
        <is>
          <t>Cable trench / HDPE duct 110 mm with draw pits</t>
        </is>
      </c>
      <c r="C235" s="5" t="n"/>
      <c r="D235" s="6" t="n">
        <v>93</v>
      </c>
      <c r="E235" t="inlineStr">
        <is>
          <t>m</t>
        </is>
      </c>
      <c r="F235" s="6" t="n">
        <v>350</v>
      </c>
      <c r="G235" s="7">
        <f>D235*F235</f>
        <v/>
      </c>
      <c r="H235" s="7">
        <f>G235*(1+0.18)</f>
        <v/>
      </c>
    </row>
    <row r="236">
      <c r="A236" t="inlineStr">
        <is>
          <t>CE03d</t>
        </is>
      </c>
      <c r="B236" s="5" t="inlineStr">
        <is>
          <t>Cable tray / ladder in the electrical riser for the rising mains</t>
        </is>
      </c>
      <c r="C236" s="5" t="inlineStr">
        <is>
          <t>Perforated GI 300 mm</t>
        </is>
      </c>
      <c r="D236" s="6" t="n">
        <v>70</v>
      </c>
      <c r="E236" t="inlineStr">
        <is>
          <t>rft</t>
        </is>
      </c>
      <c r="F236" s="6" t="n">
        <v>200</v>
      </c>
      <c r="G236" s="7">
        <f>D236*F236</f>
        <v/>
      </c>
      <c r="H236" s="7">
        <f>G236*(1+0.18)</f>
        <v/>
      </c>
    </row>
    <row r="237">
      <c r="A237" t="inlineStr">
        <is>
          <t>CE04</t>
        </is>
      </c>
      <c r="B237" s="5" t="inlineStr">
        <is>
          <t>Common DBs and sub-feeders (stair, corridors, terrace, stilt)</t>
        </is>
      </c>
      <c r="C237" s="5" t="n"/>
      <c r="D237" s="6" t="n">
        <v>1</v>
      </c>
      <c r="E237" t="inlineStr">
        <is>
          <t>LS</t>
        </is>
      </c>
      <c r="F237" s="6" t="n">
        <v>80000</v>
      </c>
      <c r="G237" s="7">
        <f>D237*F237</f>
        <v/>
      </c>
      <c r="H237" s="7">
        <f>G237*(1+0.18)</f>
        <v/>
      </c>
    </row>
    <row r="238">
      <c r="A238" t="inlineStr">
        <is>
          <t>CE05</t>
        </is>
      </c>
      <c r="B238" s="5" t="inlineStr">
        <is>
          <t>Chemical earth pits with chamber and cover</t>
        </is>
      </c>
      <c r="C238" s="5" t="inlineStr">
        <is>
          <t>Panel body, neutral, DG, lift, LA, spare</t>
        </is>
      </c>
      <c r="D238" s="6" t="n">
        <v>6</v>
      </c>
      <c r="E238" t="inlineStr">
        <is>
          <t>nos</t>
        </is>
      </c>
      <c r="F238" s="6" t="n">
        <v>15000</v>
      </c>
      <c r="G238" s="7">
        <f>D238*F238</f>
        <v/>
      </c>
      <c r="H238" s="7">
        <f>G238*(1+0.18)</f>
        <v/>
      </c>
    </row>
    <row r="239">
      <c r="A239" t="inlineStr">
        <is>
          <t>CE06</t>
        </is>
      </c>
      <c r="B239" s="5" t="inlineStr">
        <is>
          <t>Earth strip runs</t>
        </is>
      </c>
      <c r="C239" s="5" t="n"/>
      <c r="D239" s="6" t="n">
        <v>1</v>
      </c>
      <c r="E239" t="inlineStr">
        <is>
          <t>LS</t>
        </is>
      </c>
      <c r="F239" s="6" t="n">
        <v>50000</v>
      </c>
      <c r="G239" s="7">
        <f>D239*F239</f>
        <v/>
      </c>
      <c r="H239" s="7">
        <f>G239*(1+0.18)</f>
        <v/>
      </c>
    </row>
    <row r="240">
      <c r="A240" t="inlineStr">
        <is>
          <t>CE07</t>
        </is>
      </c>
      <c r="B240" s="5" t="inlineStr">
        <is>
          <t>ESE lightning arrester with down conductor, test link and counter</t>
        </is>
      </c>
      <c r="C240" s="5" t="inlineStr">
        <is>
          <t>On the stair roof</t>
        </is>
      </c>
      <c r="D240" s="6" t="n">
        <v>1</v>
      </c>
      <c r="E240" t="inlineStr">
        <is>
          <t>nos</t>
        </is>
      </c>
      <c r="F240" s="6" t="n">
        <v>120000</v>
      </c>
      <c r="G240" s="7">
        <f>D240*F240</f>
        <v/>
      </c>
      <c r="H240" s="7">
        <f>G240*(1+0.18)</f>
        <v/>
      </c>
    </row>
    <row r="241">
      <c r="A241" t="inlineStr">
        <is>
          <t>CE08</t>
        </is>
      </c>
      <c r="B241" s="5" t="inlineStr">
        <is>
          <t>Bollards 10 W and gate lights 20 W</t>
        </is>
      </c>
      <c r="C241" s="5" t="inlineStr">
        <is>
          <t>A116 · Philips / Wipro (to quote)</t>
        </is>
      </c>
      <c r="D241" s="6" t="n">
        <v>8</v>
      </c>
      <c r="E241" t="inlineStr">
        <is>
          <t>nos</t>
        </is>
      </c>
      <c r="F241" s="6" t="n">
        <v>3200</v>
      </c>
      <c r="G241" s="7">
        <f>D241*F241</f>
        <v/>
      </c>
      <c r="H241" s="7">
        <f>G241*(1+0.18)</f>
        <v/>
      </c>
    </row>
    <row r="242">
      <c r="A242" t="inlineStr">
        <is>
          <t>CE09</t>
        </is>
      </c>
      <c r="B242" s="5" t="inlineStr">
        <is>
          <t>Common area wiring and points (stair, terrace, meter room)</t>
        </is>
      </c>
      <c r="C242" s="5" t="inlineStr">
        <is>
          <t>Polycab / Legrand</t>
        </is>
      </c>
      <c r="D242" s="6" t="n">
        <v>1</v>
      </c>
      <c r="E242" t="inlineStr">
        <is>
          <t>LS</t>
        </is>
      </c>
      <c r="F242" s="6" t="n">
        <v>50000</v>
      </c>
      <c r="G242" s="7">
        <f>D242*F242</f>
        <v/>
      </c>
      <c r="H242" s="7">
        <f>G242*(1+0.18)</f>
        <v/>
      </c>
    </row>
    <row r="243">
      <c r="A243" t="inlineStr">
        <is>
          <t>CE10</t>
        </is>
      </c>
      <c r="B243" s="5" t="inlineStr">
        <is>
          <t>DG set 25 kVA acoustic, for lift, pumps and common lights</t>
        </is>
      </c>
      <c r="C243" s="5" t="inlineStr">
        <is>
          <t>Kirloskar / Cummins (to quote)</t>
        </is>
      </c>
      <c r="D243" s="6" t="n">
        <v>1</v>
      </c>
      <c r="E243" t="inlineStr">
        <is>
          <t>nos</t>
        </is>
      </c>
      <c r="F243" s="6" t="n">
        <v>550000</v>
      </c>
      <c r="G243" s="7">
        <f>D243*F243</f>
        <v/>
      </c>
      <c r="H243" s="7">
        <f>G243*(1+0.18)</f>
        <v/>
      </c>
    </row>
    <row r="244">
      <c r="A244" t="inlineStr">
        <is>
          <t>CE11</t>
        </is>
      </c>
      <c r="B244" s="5" t="inlineStr">
        <is>
          <t>Automatic changeover (AMF) panel</t>
        </is>
      </c>
      <c r="C244" s="5" t="n"/>
      <c r="D244" s="6" t="n">
        <v>1</v>
      </c>
      <c r="E244" t="inlineStr">
        <is>
          <t>nos</t>
        </is>
      </c>
      <c r="F244" s="6" t="n">
        <v>60000</v>
      </c>
      <c r="G244" s="7">
        <f>D244*F244</f>
        <v/>
      </c>
      <c r="H244" s="7">
        <f>G244*(1+0.18)</f>
        <v/>
      </c>
    </row>
    <row r="245">
      <c r="A245" t="inlineStr">
        <is>
          <t>CE12</t>
        </is>
      </c>
      <c r="B245" s="5" t="inlineStr">
        <is>
          <t>CCTV: 11 cameras + NVR + PoE switch + cabling</t>
        </is>
      </c>
      <c r="C245" s="5" t="inlineStr">
        <is>
          <t>C1–C8 + drive centre + 2 south setback (D-73); monitor in Security · Hikvision / CP Plus (to quote)</t>
        </is>
      </c>
      <c r="D245" s="6" t="n">
        <v>1</v>
      </c>
      <c r="E245" t="inlineStr">
        <is>
          <t>set</t>
        </is>
      </c>
      <c r="F245" s="6" t="n">
        <v>110000</v>
      </c>
      <c r="G245" s="7">
        <f>D245*F245</f>
        <v/>
      </c>
      <c r="H245" s="7">
        <f>G245*(1+0.18)</f>
        <v/>
      </c>
    </row>
    <row r="246">
      <c r="A246" t="inlineStr">
        <is>
          <t>CE13</t>
        </is>
      </c>
      <c r="B246" s="5" t="inlineStr">
        <is>
          <t>Distribution transformer 100 kVA with plinth, AB switch, HT cable, LT cable to the meter panel, TSSPDCL supervision</t>
        </is>
      </c>
      <c r="C246" s="5" t="inlineStr">
        <is>
          <t>≈ 10 flats × 10–12 kW sanctioned + lift, pumps, common: TSSPDCL normally asks for a DTR at this load · TSSPDCL-approved vendor</t>
        </is>
      </c>
      <c r="D246" s="6" t="n">
        <v>1</v>
      </c>
      <c r="E246" t="inlineStr">
        <is>
          <t>LS</t>
        </is>
      </c>
      <c r="F246" s="6" t="n">
        <v>800000</v>
      </c>
      <c r="G246" s="7">
        <f>D246*F246</f>
        <v/>
      </c>
      <c r="H246" s="7">
        <f>G246*(1+0.18)</f>
        <v/>
      </c>
    </row>
    <row r="247">
      <c r="A247" t="inlineStr">
        <is>
          <t>SA01</t>
        </is>
      </c>
      <c r="B247" s="5" t="inlineStr">
        <is>
          <t>Security post SEC 6′ × 6′, glazed N/E/S, AC point</t>
        </is>
      </c>
      <c r="C247" s="5" t="inlineStr">
        <is>
          <t>Replaces the NW cabin; design pending</t>
        </is>
      </c>
      <c r="D247" s="6" t="n">
        <v>1</v>
      </c>
      <c r="E247" t="inlineStr">
        <is>
          <t>nos</t>
        </is>
      </c>
      <c r="F247" s="6" t="n">
        <v>150000</v>
      </c>
      <c r="G247" s="7">
        <f>D247*F247</f>
        <v/>
      </c>
      <c r="H247" s="7">
        <f>G247*(1+0.18)</f>
        <v/>
      </c>
    </row>
    <row r="248">
      <c r="A248" t="inlineStr">
        <is>
          <t>SA02</t>
        </is>
      </c>
      <c r="B248" s="5" t="inlineStr">
        <is>
          <t>Boom barrier with RFID reader and loop detector at G1 entry</t>
        </is>
      </c>
      <c r="C248" s="5" t="inlineStr">
        <is>
          <t>Residents' vehicle tags</t>
        </is>
      </c>
      <c r="D248" s="6" t="n">
        <v>1</v>
      </c>
      <c r="E248" t="inlineStr">
        <is>
          <t>nos</t>
        </is>
      </c>
      <c r="F248" s="6" t="n">
        <v>140000</v>
      </c>
      <c r="G248" s="7">
        <f>D248*F248</f>
        <v/>
      </c>
      <c r="H248" s="7">
        <f>G248*(1+0.18)</f>
        <v/>
      </c>
    </row>
    <row r="249">
      <c r="A249" t="inlineStr">
        <is>
          <t>SA03</t>
        </is>
      </c>
      <c r="B249" s="5" t="inlineStr">
        <is>
          <t>Gate operator / automatic boom at G2 exit, RFID + remote from SEC, intercom</t>
        </is>
      </c>
      <c r="C249" s="5" t="n"/>
      <c r="D249" s="6" t="n">
        <v>1</v>
      </c>
      <c r="E249" t="inlineStr">
        <is>
          <t>nos</t>
        </is>
      </c>
      <c r="F249" s="6" t="n">
        <v>110000</v>
      </c>
      <c r="G249" s="7">
        <f>D249*F249</f>
        <v/>
      </c>
      <c r="H249" s="7">
        <f>G249*(1+0.18)</f>
        <v/>
      </c>
    </row>
    <row r="250">
      <c r="A250" t="inlineStr">
        <is>
          <t>SA04</t>
        </is>
      </c>
      <c r="B250" s="5" t="inlineStr">
        <is>
          <t>Wicket G3: electric lock, card reader, video door-phone outdoor panel</t>
        </is>
      </c>
      <c r="C250" s="5" t="inlineStr">
        <is>
          <t>To SEC and the 10 flats</t>
        </is>
      </c>
      <c r="D250" s="6" t="n">
        <v>1</v>
      </c>
      <c r="E250" t="inlineStr">
        <is>
          <t>set</t>
        </is>
      </c>
      <c r="F250" s="6" t="n">
        <v>45000</v>
      </c>
      <c r="G250" s="7">
        <f>D250*F250</f>
        <v/>
      </c>
      <c r="H250" s="7">
        <f>G250*(1+0.18)</f>
        <v/>
      </c>
    </row>
    <row r="251">
      <c r="A251" t="inlineStr">
        <is>
          <t>SA05</t>
        </is>
      </c>
      <c r="B251" s="5" t="inlineStr">
        <is>
          <t>Lift access control: reader at the stilt call button + reader in the car</t>
        </is>
      </c>
      <c r="C251" s="5" t="inlineStr">
        <is>
          <t>Interface by the lift supplier</t>
        </is>
      </c>
      <c r="D251" s="6" t="n">
        <v>1</v>
      </c>
      <c r="E251" t="inlineStr">
        <is>
          <t>set</t>
        </is>
      </c>
      <c r="F251" s="6" t="n">
        <v>60000</v>
      </c>
      <c r="G251" s="7">
        <f>D251*F251</f>
        <v/>
      </c>
      <c r="H251" s="7">
        <f>G251*(1+0.18)</f>
        <v/>
      </c>
    </row>
    <row r="252">
      <c r="A252" t="inlineStr">
        <is>
          <t>SA06</t>
        </is>
      </c>
      <c r="B252" s="5" t="inlineStr">
        <is>
          <t>Stair-foot door 3′6″ × 7′ with card reader, fail-safe mag lock, push-bar, break-glass, closer</t>
        </is>
      </c>
      <c r="C252" s="5" t="inlineStr">
        <is>
          <t>Toughened glass or steel</t>
        </is>
      </c>
      <c r="D252" s="6" t="n">
        <v>1</v>
      </c>
      <c r="E252" t="inlineStr">
        <is>
          <t>nos</t>
        </is>
      </c>
      <c r="F252" s="6" t="n">
        <v>65000</v>
      </c>
      <c r="G252" s="7">
        <f>D252*F252</f>
        <v/>
      </c>
      <c r="H252" s="7">
        <f>G252*(1+0.18)</f>
        <v/>
      </c>
    </row>
    <row r="253">
      <c r="A253" t="inlineStr">
        <is>
          <t>SA07</t>
        </is>
      </c>
      <c r="B253" s="5" t="inlineStr">
        <is>
          <t>Access-control controller + software at SEC, 50 resident fobs + 20 vehicle tags</t>
        </is>
      </c>
      <c r="C253" s="5" t="n"/>
      <c r="D253" s="6" t="n">
        <v>1</v>
      </c>
      <c r="E253" t="inlineStr">
        <is>
          <t>set</t>
        </is>
      </c>
      <c r="F253" s="6" t="n">
        <v>55000</v>
      </c>
      <c r="G253" s="7">
        <f>D253*F253</f>
        <v/>
      </c>
      <c r="H253" s="7">
        <f>G253*(1+0.18)</f>
        <v/>
      </c>
    </row>
    <row r="254">
      <c r="A254" t="inlineStr">
        <is>
          <t>SA08</t>
        </is>
      </c>
      <c r="B254" s="5" t="inlineStr">
        <is>
          <t>CCTV monitor 32″, intercom master station linked to the 10 flats, UPS</t>
        </is>
      </c>
      <c r="C254" s="5" t="n"/>
      <c r="D254" s="6" t="n">
        <v>1</v>
      </c>
      <c r="E254" t="inlineStr">
        <is>
          <t>set</t>
        </is>
      </c>
      <c r="F254" s="6" t="n">
        <v>83000</v>
      </c>
      <c r="G254" s="7">
        <f>D254*F254</f>
        <v/>
      </c>
      <c r="H254" s="7">
        <f>G254*(1+0.18)</f>
        <v/>
      </c>
    </row>
    <row r="255">
      <c r="A255" t="inlineStr">
        <is>
          <t>FS01</t>
        </is>
      </c>
      <c r="B255" s="5" t="inlineStr">
        <is>
          <t>Fire extinguishers CO2 4.5 kg / ABC 6 kg: meter room, LT panel, DG, lift machine area, terrace</t>
        </is>
      </c>
      <c r="C255" s="5" t="n"/>
      <c r="D255" s="6" t="n">
        <v>5</v>
      </c>
      <c r="E255" t="inlineStr">
        <is>
          <t>nos</t>
        </is>
      </c>
      <c r="F255" s="6" t="n">
        <v>2800</v>
      </c>
      <c r="G255" s="7">
        <f>D255*F255</f>
        <v/>
      </c>
      <c r="H255" s="7">
        <f>G255*(1+0.18)</f>
        <v/>
      </c>
    </row>
    <row r="256">
      <c r="A256" t="inlineStr">
        <is>
          <t>FS02</t>
        </is>
      </c>
      <c r="B256" s="5" t="inlineStr">
        <is>
          <t>Fire signage, exit signs (photoluminescent)</t>
        </is>
      </c>
      <c r="C256" s="5" t="n"/>
      <c r="D256" s="6" t="n">
        <v>1</v>
      </c>
      <c r="E256" t="inlineStr">
        <is>
          <t>LS</t>
        </is>
      </c>
      <c r="F256" s="6" t="n">
        <v>6400</v>
      </c>
      <c r="G256" s="7">
        <f>D256*F256</f>
        <v/>
      </c>
      <c r="H256" s="7">
        <f>G256*(1+0.18)</f>
        <v/>
      </c>
    </row>
    <row r="257">
      <c r="B257" s="8" t="inlineStr">
        <is>
          <t>Sub-total · Electrical, generator, security and fire</t>
        </is>
      </c>
      <c r="G257" s="9">
        <f>SUM(G227:G256)</f>
        <v/>
      </c>
      <c r="H257" s="9">
        <f>SUM(H227:H256)</f>
        <v/>
      </c>
    </row>
    <row r="259">
      <c r="A259" s="3" t="inlineStr">
        <is>
          <t>Site works: compound wall, gates, paving, landscape</t>
        </is>
      </c>
      <c r="B259" s="4" t="n"/>
      <c r="C259" s="4" t="n"/>
      <c r="D259" s="4" t="n"/>
      <c r="E259" s="4" t="n"/>
      <c r="F259" s="4" t="n"/>
      <c r="G259" s="4" t="n"/>
      <c r="H259" s="4" t="n"/>
    </row>
    <row r="260">
      <c r="A260" t="inlineStr">
        <is>
          <t>SW01</t>
        </is>
      </c>
      <c r="B260" s="5" t="inlineStr">
        <is>
          <t>Compound wall 6′ high, RCC posts + 9″ brick, plastered and painted</t>
        </is>
      </c>
      <c r="C260" s="5" t="inlineStr">
        <is>
          <t>Incl. footing; perimeter less gates</t>
        </is>
      </c>
      <c r="D260" s="6" t="n">
        <v>353</v>
      </c>
      <c r="E260" t="inlineStr">
        <is>
          <t>rft</t>
        </is>
      </c>
      <c r="F260" s="6" t="n">
        <v>2200</v>
      </c>
      <c r="G260" s="7">
        <f>D260*F260</f>
        <v/>
      </c>
      <c r="H260" s="7">
        <f>G260*(1+0.18)</f>
        <v/>
      </c>
    </row>
    <row r="261">
      <c r="A261" t="inlineStr">
        <is>
          <t>SW02</t>
        </is>
      </c>
      <c r="B261" s="5" t="inlineStr">
        <is>
          <t>Vehicle gate 15′ wide, MS sliding (automation in Security)</t>
        </is>
      </c>
      <c r="C261" s="5" t="inlineStr">
        <is>
          <t>Entry (north road, NW) and exit (east road)</t>
        </is>
      </c>
      <c r="D261" s="6" t="n">
        <v>2</v>
      </c>
      <c r="E261" t="inlineStr">
        <is>
          <t>nos</t>
        </is>
      </c>
      <c r="F261" s="6" t="n">
        <v>120000</v>
      </c>
      <c r="G261" s="7">
        <f>D261*F261</f>
        <v/>
      </c>
      <c r="H261" s="7">
        <f>G261*(1+0.18)</f>
        <v/>
      </c>
    </row>
    <row r="262">
      <c r="A262" t="inlineStr">
        <is>
          <t>SW03</t>
        </is>
      </c>
      <c r="B262" s="5" t="inlineStr">
        <is>
          <t>Pedestrian wicket gate 4′, MS</t>
        </is>
      </c>
      <c r="C262" s="5" t="n"/>
      <c r="D262" s="6" t="n">
        <v>1</v>
      </c>
      <c r="E262" t="inlineStr">
        <is>
          <t>nos</t>
        </is>
      </c>
      <c r="F262" s="6" t="n">
        <v>30000</v>
      </c>
      <c r="G262" s="7">
        <f>D262*F262</f>
        <v/>
      </c>
      <c r="H262" s="7">
        <f>G262*(1+0.18)</f>
        <v/>
      </c>
    </row>
    <row r="263">
      <c r="A263" t="inlineStr">
        <is>
          <t>SW04</t>
        </is>
      </c>
      <c r="B263" s="5" t="inlineStr">
        <is>
          <t>Vehicle paving: 80 mm interlocking pavers on GSB with kerbs</t>
        </is>
      </c>
      <c r="C263" s="5" t="inlineStr">
        <is>
          <t>Driveways and setback parking</t>
        </is>
      </c>
      <c r="D263" s="6" t="n">
        <v>1469</v>
      </c>
      <c r="E263" t="inlineStr">
        <is>
          <t>sft</t>
        </is>
      </c>
      <c r="F263" s="6" t="n">
        <v>110</v>
      </c>
      <c r="G263" s="7">
        <f>D263*F263</f>
        <v/>
      </c>
      <c r="H263" s="7">
        <f>G263*(1+0.18)</f>
        <v/>
      </c>
    </row>
    <row r="264">
      <c r="A264" t="inlineStr">
        <is>
          <t>SW04a</t>
        </is>
      </c>
      <c r="B264" s="5" t="inlineStr">
        <is>
          <t>Footpaths and light paving</t>
        </is>
      </c>
      <c r="C264" s="5" t="inlineStr">
        <is>
          <t>Spec pending</t>
        </is>
      </c>
      <c r="D264" s="6" t="n">
        <v>762</v>
      </c>
      <c r="E264" t="inlineStr">
        <is>
          <t>sft</t>
        </is>
      </c>
      <c r="F264" s="6" t="n">
        <v>90</v>
      </c>
      <c r="G264" s="7">
        <f>D264*F264</f>
        <v/>
      </c>
      <c r="H264" s="7">
        <f>G264*(1+0.18)</f>
        <v/>
      </c>
    </row>
    <row r="265">
      <c r="A265" t="inlineStr">
        <is>
          <t>SW05</t>
        </is>
      </c>
      <c r="B265" s="5" t="inlineStr">
        <is>
          <t>Landscape area: soil, lawn, planting</t>
        </is>
      </c>
      <c r="C265" s="5" t="n"/>
      <c r="D265" s="6" t="n">
        <v>1167</v>
      </c>
      <c r="E265" t="inlineStr">
        <is>
          <t>sft</t>
        </is>
      </c>
      <c r="F265" s="6" t="n">
        <v>150</v>
      </c>
      <c r="G265" s="7">
        <f>D265*F265</f>
        <v/>
      </c>
      <c r="H265" s="7">
        <f>G265*(1+0.18)</f>
        <v/>
      </c>
    </row>
    <row r="266">
      <c r="A266" t="inlineStr">
        <is>
          <t>SW06</t>
        </is>
      </c>
      <c r="B266" s="5" t="inlineStr">
        <is>
          <t>Watchman block: room 8′ × 13′ + 2 bathrooms, west setback</t>
        </is>
      </c>
      <c r="C266" s="5" t="inlineStr">
        <is>
          <t>Load-bearing, RCC roof, finishes and plumbing</t>
        </is>
      </c>
      <c r="D266" s="6" t="n">
        <v>166</v>
      </c>
      <c r="E266" t="inlineStr">
        <is>
          <t>sft</t>
        </is>
      </c>
      <c r="F266" s="6" t="n">
        <v>2200</v>
      </c>
      <c r="G266" s="7">
        <f>D266*F266</f>
        <v/>
      </c>
      <c r="H266" s="7">
        <f>G266*(1+0.18)</f>
        <v/>
      </c>
    </row>
    <row r="267">
      <c r="B267" s="8" t="inlineStr">
        <is>
          <t>Sub-total · Site works: compound wall, gates, paving, landscape</t>
        </is>
      </c>
      <c r="G267" s="9">
        <f>SUM(G260:G266)</f>
        <v/>
      </c>
      <c r="H267" s="9">
        <f>SUM(H260:H266)</f>
        <v/>
      </c>
    </row>
    <row r="269">
      <c r="B269" s="8" t="inlineStr">
        <is>
          <t>Total of all items, before contingency</t>
        </is>
      </c>
      <c r="G269" s="9">
        <f>G31+G48+G53+G89+G106+G128+G133+G192+G224+G257+G267</f>
        <v/>
      </c>
      <c r="H269" s="9">
        <f>H31+H48+H53+H89+H106+H128+H133+H192+H224+H257+H267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2026-10-19T08:38:17Z</dcterms:created>
  <dcterms:modified xmlns:dcterms="http://purl.org/dc/terms/" xmlns:xsi="http://www.w3.org/2001/XMLSchema-instance" xsi:type="dcterms:W3CDTF">2026-10-19T08:38:17Z</dcterms:modified>
</cp:coreProperties>
</file>