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on works 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5C63"/>
      </patternFill>
    </fill>
    <fill>
      <patternFill patternType="solid">
        <fgColor rgb="00E8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0" fontId="3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wrapText="1"/>
    </xf>
    <xf numFmtId="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60" customWidth="1" min="3" max="3"/>
    <col width="10" customWidth="1" min="4" max="4"/>
    <col width="8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78:93 Cyber Enclave · Common works BOQ (as presented, with cellar)</t>
        </is>
      </c>
    </row>
    <row r="2">
      <c r="A2" t="inlineStr">
        <is>
          <t>Prepared by SAHA Developers (PMC). Quantities are PMC take-offs from the drawings for checking by the owners' architects; rates at today's market; amounts before GST unless marked. Updated 19 Oct 2026.</t>
        </is>
      </c>
    </row>
    <row r="4">
      <c r="A4" s="2" t="inlineStr">
        <is>
          <t>Code</t>
        </is>
      </c>
      <c r="B4" s="2" t="inlineStr">
        <is>
          <t>Item</t>
        </is>
      </c>
      <c r="C4" s="2" t="inlineStr">
        <is>
          <t>Specification / make / measurement basis</t>
        </is>
      </c>
      <c r="D4" s="2" t="inlineStr">
        <is>
          <t>Qty</t>
        </is>
      </c>
      <c r="E4" s="2" t="inlineStr">
        <is>
          <t>Unit</t>
        </is>
      </c>
      <c r="F4" s="2" t="inlineStr">
        <is>
          <t>Rate (₹, before GST)</t>
        </is>
      </c>
      <c r="G4" s="2" t="inlineStr">
        <is>
          <t>Amount (₹, before GST)</t>
        </is>
      </c>
      <c r="H4" s="2" t="inlineStr">
        <is>
          <t>Amount incl. GST (₹)</t>
        </is>
      </c>
    </row>
    <row r="5">
      <c r="A5" s="3" t="inlineStr">
        <is>
          <t>Preliminaries, site set-up and supervision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t="inlineStr">
        <is>
          <t>P1.01</t>
        </is>
      </c>
      <c r="B6" s="5" t="inlineStr">
        <is>
          <t>Site clearing, setting out, level survey</t>
        </is>
      </c>
      <c r="C6" s="5" t="inlineStr">
        <is>
          <t>PMC allowance</t>
        </is>
      </c>
      <c r="D6" s="6" t="n">
        <v>1</v>
      </c>
      <c r="E6" t="inlineStr">
        <is>
          <t>LS</t>
        </is>
      </c>
      <c r="F6" s="6" t="n">
        <v>90000</v>
      </c>
      <c r="G6" s="7">
        <f>D6*F6</f>
        <v/>
      </c>
      <c r="H6" s="7">
        <f>G6*(1+0.18)</f>
        <v/>
      </c>
    </row>
    <row r="7">
      <c r="A7" t="inlineStr">
        <is>
          <t>P1.02</t>
        </is>
      </c>
      <c r="B7" s="5" t="inlineStr">
        <is>
          <t>Site office, store, labour toilets, hoarding</t>
        </is>
      </c>
      <c r="C7" s="5" t="inlineStr">
        <is>
          <t>PMC allowance</t>
        </is>
      </c>
      <c r="D7" s="6" t="n">
        <v>1</v>
      </c>
      <c r="E7" t="inlineStr">
        <is>
          <t>LS</t>
        </is>
      </c>
      <c r="F7" s="6" t="n">
        <v>250000</v>
      </c>
      <c r="G7" s="7">
        <f>D7*F7</f>
        <v/>
      </c>
      <c r="H7" s="7">
        <f>G7*(1+0.18)</f>
        <v/>
      </c>
    </row>
    <row r="8">
      <c r="A8" t="inlineStr">
        <is>
          <t>P1.03</t>
        </is>
      </c>
      <c r="B8" s="5" t="inlineStr">
        <is>
          <t>Construction power and water (temporary connection + use)</t>
        </is>
      </c>
      <c r="C8" s="5" t="inlineStr">
        <is>
          <t>PMC allowance</t>
        </is>
      </c>
      <c r="D8" s="6" t="n">
        <v>1</v>
      </c>
      <c r="E8" t="inlineStr">
        <is>
          <t>LS</t>
        </is>
      </c>
      <c r="F8" s="6" t="n">
        <v>300000</v>
      </c>
      <c r="G8" s="7">
        <f>D8*F8</f>
        <v/>
      </c>
      <c r="H8" s="7">
        <f>G8*(1+0.18)</f>
        <v/>
      </c>
    </row>
    <row r="9">
      <c r="A9" t="inlineStr">
        <is>
          <t>P1.04</t>
        </is>
      </c>
      <c r="B9" s="5" t="inlineStr">
        <is>
          <t>Site engineer (≈ 16 months)</t>
        </is>
      </c>
      <c r="C9" s="5" t="inlineStr">
        <is>
          <t>77:76 prelims basis</t>
        </is>
      </c>
      <c r="D9" s="6" t="n">
        <v>16</v>
      </c>
      <c r="E9" t="inlineStr">
        <is>
          <t>month</t>
        </is>
      </c>
      <c r="F9" s="6" t="n">
        <v>45000</v>
      </c>
      <c r="G9" s="7">
        <f>D9*F9</f>
        <v/>
      </c>
      <c r="H9" s="7">
        <f>G9*(1+0.0)</f>
        <v/>
      </c>
    </row>
    <row r="10">
      <c r="A10" t="inlineStr">
        <is>
          <t>P1.05</t>
        </is>
      </c>
      <c r="B10" s="5" t="inlineStr">
        <is>
          <t>Site supervisor (≈ 16 months)</t>
        </is>
      </c>
      <c r="C10" s="5" t="inlineStr">
        <is>
          <t>77:76 prelims basis</t>
        </is>
      </c>
      <c r="D10" s="6" t="n">
        <v>16</v>
      </c>
      <c r="E10" t="inlineStr">
        <is>
          <t>month</t>
        </is>
      </c>
      <c r="F10" s="6" t="n">
        <v>25000</v>
      </c>
      <c r="G10" s="7">
        <f>D10*F10</f>
        <v/>
      </c>
      <c r="H10" s="7">
        <f>G10*(1+0.0)</f>
        <v/>
      </c>
    </row>
    <row r="11">
      <c r="A11" t="inlineStr">
        <is>
          <t>P1.06</t>
        </is>
      </c>
      <c r="B11" s="5" t="inlineStr">
        <is>
          <t>Safety: nets, PPE, edge protection, signage</t>
        </is>
      </c>
      <c r="C11" s="5" t="inlineStr">
        <is>
          <t>PMC allowance</t>
        </is>
      </c>
      <c r="D11" s="6" t="n">
        <v>1</v>
      </c>
      <c r="E11" t="inlineStr">
        <is>
          <t>LS</t>
        </is>
      </c>
      <c r="F11" s="6" t="n">
        <v>150000</v>
      </c>
      <c r="G11" s="7">
        <f>D11*F11</f>
        <v/>
      </c>
      <c r="H11" s="7">
        <f>G11*(1+0.18)</f>
        <v/>
      </c>
    </row>
    <row r="12">
      <c r="A12" t="inlineStr">
        <is>
          <t>P1.07</t>
        </is>
      </c>
      <c r="B12" s="5" t="inlineStr">
        <is>
          <t>Soil investigation (3 boreholes, SPT) + testing (cubes, steel, AAC)</t>
        </is>
      </c>
      <c r="C12" s="5" t="inlineStr">
        <is>
          <t>PMC allowance</t>
        </is>
      </c>
      <c r="D12" s="6" t="n">
        <v>1</v>
      </c>
      <c r="E12" t="inlineStr">
        <is>
          <t>LS</t>
        </is>
      </c>
      <c r="F12" s="6" t="n">
        <v>155000</v>
      </c>
      <c r="G12" s="7">
        <f>D12*F12</f>
        <v/>
      </c>
      <c r="H12" s="7">
        <f>G12*(1+0.18)</f>
        <v/>
      </c>
    </row>
    <row r="13">
      <c r="B13" s="8" t="inlineStr">
        <is>
          <t>Sub-total · Preliminaries, site set-up and supervision</t>
        </is>
      </c>
      <c r="G13" s="9">
        <f>SUM(G6:G12)</f>
        <v/>
      </c>
      <c r="H13" s="9">
        <f>SUM(H6:H12)</f>
        <v/>
      </c>
    </row>
    <row r="15">
      <c r="A15" s="3" t="inlineStr">
        <is>
          <t>Earthwork, cellar excavation and shoring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t="inlineStr">
        <is>
          <t>P2.01</t>
        </is>
      </c>
      <c r="B16" s="5" t="inlineStr">
        <is>
          <t>Cellar excavation incl. landing, ramp and footings below the floor (40% rock assumed)</t>
        </is>
      </c>
      <c r="C16" s="5" t="inlineStr">
        <is>
          <t>soil Rs 550 / rock Rs 1,800 incl. GST blended (cellar report); rock share unknown until the soil test</t>
        </is>
      </c>
      <c r="D16" s="6" t="n">
        <v>1878</v>
      </c>
      <c r="E16" t="inlineStr">
        <is>
          <t>m³</t>
        </is>
      </c>
      <c r="F16" s="6" t="n">
        <v>890</v>
      </c>
      <c r="G16" s="7">
        <f>D16*F16</f>
        <v/>
      </c>
      <c r="H16" s="7">
        <f>G16*(1+0.18)</f>
        <v/>
      </c>
    </row>
    <row r="17">
      <c r="A17" t="inlineStr">
        <is>
          <t>P2.02</t>
        </is>
      </c>
      <c r="B17" s="5" t="inlineStr">
        <is>
          <t>Shoring on every face (soldier piles + lagging / sheet), incl. removal</t>
        </is>
      </c>
      <c r="C17" s="5" t="inlineStr">
        <is>
          <t>roads on 3 sides, 77:76 on the east</t>
        </is>
      </c>
      <c r="D17" s="6" t="n">
        <v>295</v>
      </c>
      <c r="E17" t="inlineStr">
        <is>
          <t>m²</t>
        </is>
      </c>
      <c r="F17" s="6" t="n">
        <v>1800</v>
      </c>
      <c r="G17" s="7">
        <f>D17*F17</f>
        <v/>
      </c>
      <c r="H17" s="7">
        <f>G17*(1+0.18)</f>
        <v/>
      </c>
    </row>
    <row r="18">
      <c r="A18" t="inlineStr">
        <is>
          <t>P2.03</t>
        </is>
      </c>
      <c r="B18" s="5" t="inlineStr">
        <is>
          <t>Dewatering and edge protection during the dig</t>
        </is>
      </c>
      <c r="C18" s="5" t="inlineStr">
        <is>
          <t>provisional; depends on the water table / monsoon</t>
        </is>
      </c>
      <c r="D18" s="6" t="n">
        <v>1</v>
      </c>
      <c r="E18" t="inlineStr">
        <is>
          <t>LS</t>
        </is>
      </c>
      <c r="F18" s="6" t="n">
        <v>340000</v>
      </c>
      <c r="G18" s="7">
        <f>D18*F18</f>
        <v/>
      </c>
      <c r="H18" s="7">
        <f>G18*(1+0.18)</f>
        <v/>
      </c>
    </row>
    <row r="19">
      <c r="A19" t="inlineStr">
        <is>
          <t>P2.04</t>
        </is>
      </c>
      <c r="B19" s="5" t="inlineStr">
        <is>
          <t>Backfill behind the retaining walls, compacted</t>
        </is>
      </c>
      <c r="C19" s="5" t="inlineStr">
        <is>
          <t>working space</t>
        </is>
      </c>
      <c r="D19" s="6" t="n">
        <v>320</v>
      </c>
      <c r="E19" t="inlineStr">
        <is>
          <t>m³</t>
        </is>
      </c>
      <c r="F19" s="6" t="n">
        <v>210</v>
      </c>
      <c r="G19" s="7">
        <f>D19*F19</f>
        <v/>
      </c>
      <c r="H19" s="7">
        <f>G19*(1+0.18)</f>
        <v/>
      </c>
    </row>
    <row r="20">
      <c r="A20" t="inlineStr">
        <is>
          <t>P2.05</t>
        </is>
      </c>
      <c r="B20" s="5" t="inlineStr">
        <is>
          <t>Surplus earth / rock disposal</t>
        </is>
      </c>
      <c r="C20" s="5" t="n"/>
      <c r="D20" s="6" t="n">
        <v>1558</v>
      </c>
      <c r="E20" t="inlineStr">
        <is>
          <t>m³</t>
        </is>
      </c>
      <c r="F20" s="6" t="n">
        <v>300</v>
      </c>
      <c r="G20" s="7">
        <f>D20*F20</f>
        <v/>
      </c>
      <c r="H20" s="7">
        <f>G20*(1+0.18)</f>
        <v/>
      </c>
    </row>
    <row r="21">
      <c r="A21" t="inlineStr">
        <is>
          <t>P2.06</t>
        </is>
      </c>
      <c r="B21" s="5" t="inlineStr">
        <is>
          <t>Anti-termite treatment (cellar floor + walls)</t>
        </is>
      </c>
      <c r="C21" s="5" t="n"/>
      <c r="D21" s="6" t="n">
        <v>8360</v>
      </c>
      <c r="E21" t="inlineStr">
        <is>
          <t>sft</t>
        </is>
      </c>
      <c r="F21" s="6" t="n">
        <v>9</v>
      </c>
      <c r="G21" s="7">
        <f>D21*F21</f>
        <v/>
      </c>
      <c r="H21" s="7">
        <f>G21*(1+0.18)</f>
        <v/>
      </c>
    </row>
    <row r="22">
      <c r="B22" s="8" t="inlineStr">
        <is>
          <t>Sub-total · Earthwork, cellar excavation and shoring</t>
        </is>
      </c>
      <c r="G22" s="9">
        <f>SUM(G16:G21)</f>
        <v/>
      </c>
      <c r="H22" s="9">
        <f>SUM(H16:H21)</f>
        <v/>
      </c>
    </row>
    <row r="24">
      <c r="A24" s="3" t="inlineStr">
        <is>
          <t>Concrete (RMC) and steel</t>
        </is>
      </c>
      <c r="B24" s="4" t="n"/>
      <c r="C24" s="4" t="n"/>
      <c r="D24" s="4" t="n"/>
      <c r="E24" s="4" t="n"/>
      <c r="F24" s="4" t="n"/>
      <c r="G24" s="4" t="n"/>
      <c r="H24" s="4" t="n"/>
    </row>
    <row r="25">
      <c r="A25" t="inlineStr">
        <is>
          <t>P3.01</t>
        </is>
      </c>
      <c r="B25" s="5" t="inlineStr">
        <is>
          <t>PCC M10 under footings and the slab on grade</t>
        </is>
      </c>
      <c r="C25" s="5" t="inlineStr">
        <is>
          <t>Structure sheet</t>
        </is>
      </c>
      <c r="D25" s="6" t="n">
        <v>71</v>
      </c>
      <c r="E25" t="inlineStr">
        <is>
          <t>m³</t>
        </is>
      </c>
      <c r="F25" s="6" t="n">
        <v>3389.83</v>
      </c>
      <c r="G25" s="7">
        <f>D25*F25</f>
        <v/>
      </c>
      <c r="H25" s="7">
        <f>G25*(1+0.18)</f>
        <v/>
      </c>
    </row>
    <row r="26">
      <c r="A26" t="inlineStr">
        <is>
          <t>P3.02</t>
        </is>
      </c>
      <c r="B26" s="5" t="inlineStr">
        <is>
          <t>RMC M25: footings, necks, plinth beams, slab on grade</t>
        </is>
      </c>
      <c r="C26" s="5" t="inlineStr">
        <is>
          <t>Structure sheet · client rate ₹4,800 incl. GST (77:76 D-97)</t>
        </is>
      </c>
      <c r="D26" s="6" t="n">
        <v>160.4</v>
      </c>
      <c r="E26" t="inlineStr">
        <is>
          <t>m³</t>
        </is>
      </c>
      <c r="F26" s="6" t="n">
        <v>4067.8</v>
      </c>
      <c r="G26" s="7">
        <f>D26*F26</f>
        <v/>
      </c>
      <c r="H26" s="7">
        <f>G26*(1+0.18)</f>
        <v/>
      </c>
    </row>
    <row r="27">
      <c r="A27" t="inlineStr">
        <is>
          <t>P3.03</t>
        </is>
      </c>
      <c r="B27" s="5" t="inlineStr">
        <is>
          <t>RMC M30: columns, beams, slabs, stairs, lift, tanks</t>
        </is>
      </c>
      <c r="C27" s="5" t="inlineStr">
        <is>
          <t>Structure sheet · client rate ₹5,200 incl. GST (77:76 D-97)</t>
        </is>
      </c>
      <c r="D27" s="6" t="n">
        <v>803.6</v>
      </c>
      <c r="E27" t="inlineStr">
        <is>
          <t>m³</t>
        </is>
      </c>
      <c r="F27" s="6" t="n">
        <v>4406.78</v>
      </c>
      <c r="G27" s="7">
        <f>D27*F27</f>
        <v/>
      </c>
      <c r="H27" s="7">
        <f>G27*(1+0.18)</f>
        <v/>
      </c>
    </row>
    <row r="28">
      <c r="A28" t="inlineStr">
        <is>
          <t>P3.04</t>
        </is>
      </c>
      <c r="B28" s="5" t="inlineStr">
        <is>
          <t>Concrete pumping</t>
        </is>
      </c>
      <c r="C28" s="5" t="inlineStr">
        <is>
          <t>PMC allowance</t>
        </is>
      </c>
      <c r="D28" s="6" t="n">
        <v>803.6</v>
      </c>
      <c r="E28" t="inlineStr">
        <is>
          <t>m³</t>
        </is>
      </c>
      <c r="F28" s="6" t="n">
        <v>250</v>
      </c>
      <c r="G28" s="7">
        <f>D28*F28</f>
        <v/>
      </c>
      <c r="H28" s="7">
        <f>G28*(1+0.18)</f>
        <v/>
      </c>
    </row>
    <row r="29">
      <c r="A29" t="inlineStr">
        <is>
          <t>P3.05</t>
        </is>
      </c>
      <c r="B29" s="5" t="inlineStr">
        <is>
          <t>Steel Fe550D TMT, to order</t>
        </is>
      </c>
      <c r="C29" s="5" t="inlineStr">
        <is>
          <t>Structure sheet · client rate ₹63/kg incl. GST (77:76 D-82)</t>
        </is>
      </c>
      <c r="D29" s="6" t="n">
        <v>92807.12</v>
      </c>
      <c r="E29" t="inlineStr">
        <is>
          <t>kg</t>
        </is>
      </c>
      <c r="F29" s="6" t="n">
        <v>53.39</v>
      </c>
      <c r="G29" s="7">
        <f>D29*F29</f>
        <v/>
      </c>
      <c r="H29" s="7">
        <f>G29*(1+0.18)</f>
        <v/>
      </c>
    </row>
    <row r="30">
      <c r="A30" t="inlineStr">
        <is>
          <t>P3.06</t>
        </is>
      </c>
      <c r="B30" s="5" t="inlineStr">
        <is>
          <t>Binding wire 18 SWG (10 kg/t) + cover blocks</t>
        </is>
      </c>
      <c r="C30" s="5" t="inlineStr">
        <is>
          <t>wire ₹85/kg + cover blocks</t>
        </is>
      </c>
      <c r="D30" s="6" t="n">
        <v>928.0700000000001</v>
      </c>
      <c r="E30" t="inlineStr">
        <is>
          <t>kg</t>
        </is>
      </c>
      <c r="F30" s="6" t="n">
        <v>150</v>
      </c>
      <c r="G30" s="7">
        <f>D30*F30</f>
        <v/>
      </c>
      <c r="H30" s="7">
        <f>G30*(1+0.18)</f>
        <v/>
      </c>
    </row>
    <row r="31">
      <c r="A31" t="inlineStr">
        <is>
          <t>P3.07</t>
        </is>
      </c>
      <c r="B31" s="5" t="inlineStr">
        <is>
          <t>VDF finish + hardener: cellar floor + stilt (podium) top</t>
        </is>
      </c>
      <c r="C31" s="5" t="inlineStr">
        <is>
          <t>PMC allowance</t>
        </is>
      </c>
      <c r="D31" s="6" t="n">
        <v>9920</v>
      </c>
      <c r="E31" t="inlineStr">
        <is>
          <t>sft</t>
        </is>
      </c>
      <c r="F31" s="6" t="n">
        <v>28</v>
      </c>
      <c r="G31" s="7">
        <f>D31*F31</f>
        <v/>
      </c>
      <c r="H31" s="7">
        <f>G31*(1+0.18)</f>
        <v/>
      </c>
    </row>
    <row r="32">
      <c r="A32" t="inlineStr">
        <is>
          <t>P3.08</t>
        </is>
      </c>
      <c r="B32" s="5" t="inlineStr">
        <is>
          <t>Formwork labour for retaining walls and ramp walls (outside the per-sft slab rate)</t>
        </is>
      </c>
      <c r="C32" s="5" t="inlineStr">
        <is>
          <t>both faces; cellar report rate</t>
        </is>
      </c>
      <c r="D32" s="6" t="n">
        <v>8320</v>
      </c>
      <c r="E32" t="inlineStr">
        <is>
          <t>sft</t>
        </is>
      </c>
      <c r="F32" s="6" t="n">
        <v>60</v>
      </c>
      <c r="G32" s="7">
        <f>D32*F32</f>
        <v/>
      </c>
      <c r="H32" s="7">
        <f>G32*(1+0.0)</f>
        <v/>
      </c>
    </row>
    <row r="33">
      <c r="B33" s="8" t="inlineStr">
        <is>
          <t>Sub-total · Concrete (RMC) and steel</t>
        </is>
      </c>
      <c r="G33" s="9">
        <f>SUM(G25:G32)</f>
        <v/>
      </c>
      <c r="H33" s="9">
        <f>SUM(H25:H32)</f>
        <v/>
      </c>
    </row>
    <row r="35">
      <c r="A35" s="3" t="inlineStr">
        <is>
          <t>Civil labour contract</t>
        </is>
      </c>
      <c r="B35" s="4" t="n"/>
      <c r="C35" s="4" t="n"/>
      <c r="D35" s="4" t="n"/>
      <c r="E35" s="4" t="n"/>
      <c r="F35" s="4" t="n"/>
      <c r="G35" s="4" t="n"/>
      <c r="H35" s="4" t="n"/>
    </row>
    <row r="36">
      <c r="A36" t="inlineStr">
        <is>
          <t>P4.01</t>
        </is>
      </c>
      <c r="B36" s="5" t="inlineStr">
        <is>
          <t>Common share on all slabs</t>
        </is>
      </c>
      <c r="C36" s="5" t="inlineStr">
        <is>
          <t>P-58: common-area vendor ₹200/sft of slab area (podium + 5 floors + terrace + head room / strips): frame, common walls and common plaster</t>
        </is>
      </c>
      <c r="D36" s="6" t="n">
        <v>30254</v>
      </c>
      <c r="E36" t="inlineStr">
        <is>
          <t>sft</t>
        </is>
      </c>
      <c r="F36" s="6" t="n">
        <v>200</v>
      </c>
      <c r="G36" s="7">
        <f>D36*F36</f>
        <v/>
      </c>
      <c r="H36" s="7">
        <f>G36*(1+0.0)</f>
        <v/>
      </c>
    </row>
    <row r="37">
      <c r="A37" t="inlineStr">
        <is>
          <t>P4.02</t>
        </is>
      </c>
      <c r="B37" s="5" t="inlineStr">
        <is>
          <t>Owners' ₹100 share on the non-unit slab — deleted (P-58)</t>
        </is>
      </c>
      <c r="C37" s="5" t="inlineStr">
        <is>
          <t>owners now do their own internal walls + plaster at ₹100/sft of brickwork (individual works)</t>
        </is>
      </c>
      <c r="D37" s="6" t="n">
        <v>0</v>
      </c>
      <c r="E37" t="inlineStr">
        <is>
          <t>sft</t>
        </is>
      </c>
      <c r="F37" s="6" t="n">
        <v>100</v>
      </c>
      <c r="G37" s="7">
        <f>D37*F37</f>
        <v/>
      </c>
      <c r="H37" s="7">
        <f>G37*(1+0)</f>
        <v/>
      </c>
    </row>
    <row r="38">
      <c r="B38" s="8" t="inlineStr">
        <is>
          <t>Sub-total · Civil labour contract</t>
        </is>
      </c>
      <c r="G38" s="9">
        <f>SUM(G36:G37)</f>
        <v/>
      </c>
      <c r="H38" s="9">
        <f>SUM(H36:H37)</f>
        <v/>
      </c>
    </row>
    <row r="40">
      <c r="A40" s="3" t="inlineStr">
        <is>
          <t>Common walls, plaster, waterproofing</t>
        </is>
      </c>
      <c r="B40" s="4" t="n"/>
      <c r="C40" s="4" t="n"/>
      <c r="D40" s="4" t="n"/>
      <c r="E40" s="4" t="n"/>
      <c r="F40" s="4" t="n"/>
      <c r="G40" s="4" t="n"/>
      <c r="H40" s="4" t="n"/>
    </row>
    <row r="41">
      <c r="A41" t="inlineStr">
        <is>
          <t>P5.01</t>
        </is>
      </c>
      <c r="B41" s="5" t="inlineStr">
        <is>
          <t>AAC 8″ walls: external, core, walls on lines B / C, head room (blocks, adhesive, mesh, ties, lintels, sill bands)</t>
        </is>
      </c>
      <c r="C41" s="5" t="inlineStr">
        <is>
          <t>MW-01/02 take-off: 13,307 sft net × 0.2 m = 247 m³ + 5% (was 316)</t>
        </is>
      </c>
      <c r="D41" s="6" t="n">
        <v>246</v>
      </c>
      <c r="E41" t="inlineStr">
        <is>
          <t>m³</t>
        </is>
      </c>
      <c r="F41" s="6" t="n">
        <v>5813.01</v>
      </c>
      <c r="G41" s="7">
        <f>D41*F41</f>
        <v/>
      </c>
      <c r="H41" s="7">
        <f>G41*(1+0.18)</f>
        <v/>
      </c>
    </row>
    <row r="42">
      <c r="A42" t="inlineStr">
        <is>
          <t>P5.02</t>
        </is>
      </c>
      <c r="B42" s="5" t="inlineStr">
        <is>
          <t>Red brick 9″ parapets in CM 1:6</t>
        </is>
      </c>
      <c r="C42" s="5" t="inlineStr">
        <is>
          <t>275 rft × 3′-6″</t>
        </is>
      </c>
      <c r="D42" s="6" t="n">
        <v>20.5</v>
      </c>
      <c r="E42" t="inlineStr">
        <is>
          <t>m³</t>
        </is>
      </c>
      <c r="F42" s="6" t="n">
        <v>7500</v>
      </c>
      <c r="G42" s="7">
        <f>D42*F42</f>
        <v/>
      </c>
      <c r="H42" s="7">
        <f>G42*(1+0.18)</f>
        <v/>
      </c>
    </row>
    <row r="43">
      <c r="A43" t="inlineStr">
        <is>
          <t>P5.03</t>
        </is>
      </c>
      <c r="B43" s="5" t="inlineStr">
        <is>
          <t>External cement plaster 20 mm, 2 coats with admixture (material)</t>
        </is>
      </c>
      <c r="C43" s="5" t="inlineStr">
        <is>
          <t>outer faces stilt to parapet, net of openings, + stilt columns</t>
        </is>
      </c>
      <c r="D43" s="6" t="n">
        <v>15000</v>
      </c>
      <c r="E43" t="inlineStr">
        <is>
          <t>sft</t>
        </is>
      </c>
      <c r="F43" s="6" t="n">
        <v>28</v>
      </c>
      <c r="G43" s="7">
        <f>D43*F43</f>
        <v/>
      </c>
      <c r="H43" s="7">
        <f>G43*(1+0.18)</f>
        <v/>
      </c>
    </row>
    <row r="44">
      <c r="A44" t="inlineStr">
        <is>
          <t>P5.04</t>
        </is>
      </c>
      <c r="B44" s="5" t="inlineStr">
        <is>
          <t>Gypsum plaster on the inner faces of common walls + core (material)</t>
        </is>
      </c>
      <c r="C44" s="5" t="inlineStr">
        <is>
          <t>PP-02 take-off (was 24,100)</t>
        </is>
      </c>
      <c r="D44" s="6" t="n">
        <v>20860</v>
      </c>
      <c r="E44" t="inlineStr">
        <is>
          <t>sft</t>
        </is>
      </c>
      <c r="F44" s="6" t="n">
        <v>22</v>
      </c>
      <c r="G44" s="7">
        <f>D44*F44</f>
        <v/>
      </c>
      <c r="H44" s="7">
        <f>G44*(1+0.18)</f>
        <v/>
      </c>
    </row>
    <row r="45">
      <c r="A45" t="inlineStr">
        <is>
          <t>P5.05</t>
        </is>
      </c>
      <c r="B45" s="5" t="inlineStr">
        <is>
          <t>Fibre mesh at RCC / AAC junctions</t>
        </is>
      </c>
      <c r="C45" s="5" t="inlineStr">
        <is>
          <t>PMC allowance</t>
        </is>
      </c>
      <c r="D45" s="6" t="n">
        <v>6000</v>
      </c>
      <c r="E45" t="inlineStr">
        <is>
          <t>rft</t>
        </is>
      </c>
      <c r="F45" s="6" t="n">
        <v>8</v>
      </c>
      <c r="G45" s="7">
        <f>D45*F45</f>
        <v/>
      </c>
      <c r="H45" s="7">
        <f>G45*(1+0.18)</f>
        <v/>
      </c>
    </row>
    <row r="46">
      <c r="A46" t="inlineStr">
        <is>
          <t>P5.06</t>
        </is>
      </c>
      <c r="B46" s="5" t="inlineStr">
        <is>
          <t>Terrace: PU membrane, foam concrete to falls, screed, cool-roof tiles</t>
        </is>
      </c>
      <c r="C46" s="5" t="inlineStr">
        <is>
          <t>77:76 terrace package rates</t>
        </is>
      </c>
      <c r="D46" s="6" t="n">
        <v>3900</v>
      </c>
      <c r="E46" t="inlineStr">
        <is>
          <t>sft</t>
        </is>
      </c>
      <c r="F46" s="6" t="n">
        <v>230</v>
      </c>
      <c r="G46" s="7">
        <f>D46*F46</f>
        <v/>
      </c>
      <c r="H46" s="7">
        <f>G46*(1+0.18)</f>
        <v/>
      </c>
    </row>
    <row r="47">
      <c r="A47" t="inlineStr">
        <is>
          <t>P5.07</t>
        </is>
      </c>
      <c r="B47" s="5" t="inlineStr">
        <is>
          <t>Toilet / WC floor waterproofing + 1′ upturns + 48 h ponding test</t>
        </is>
      </c>
      <c r="C47" s="5" t="inlineStr">
        <is>
          <t>hostel 30 baths + office 20 wet rooms (77:76 D-125: floor WP common)</t>
        </is>
      </c>
      <c r="D47" s="6" t="n">
        <v>50</v>
      </c>
      <c r="E47" t="inlineStr">
        <is>
          <t>nos</t>
        </is>
      </c>
      <c r="F47" s="6" t="n">
        <v>3500</v>
      </c>
      <c r="G47" s="7">
        <f>D47*F47</f>
        <v/>
      </c>
      <c r="H47" s="7">
        <f>G47*(1+0.18)</f>
        <v/>
      </c>
    </row>
    <row r="48">
      <c r="A48" t="inlineStr">
        <is>
          <t>P5.08</t>
        </is>
      </c>
      <c r="B48" s="5" t="inlineStr">
        <is>
          <t>Balcony waterproofing + RCC upstand</t>
        </is>
      </c>
      <c r="C48" s="5" t="inlineStr">
        <is>
          <t>10 corner balconies</t>
        </is>
      </c>
      <c r="D48" s="6" t="n">
        <v>10</v>
      </c>
      <c r="E48" t="inlineStr">
        <is>
          <t>nos</t>
        </is>
      </c>
      <c r="F48" s="6" t="n">
        <v>4000</v>
      </c>
      <c r="G48" s="7">
        <f>D48*F48</f>
        <v/>
      </c>
      <c r="H48" s="7">
        <f>G48*(1+0.18)</f>
        <v/>
      </c>
    </row>
    <row r="49">
      <c r="A49" t="inlineStr">
        <is>
          <t>P5.09</t>
        </is>
      </c>
      <c r="B49" s="5" t="inlineStr">
        <is>
          <t>Sumps (2), OHTs (2), lift pit: crystalline waterproofing</t>
        </is>
      </c>
      <c r="C49" s="5" t="n"/>
      <c r="D49" s="6" t="n">
        <v>5</v>
      </c>
      <c r="E49" t="inlineStr">
        <is>
          <t>nos</t>
        </is>
      </c>
      <c r="F49" s="6" t="n">
        <v>25000</v>
      </c>
      <c r="G49" s="7">
        <f>D49*F49</f>
        <v/>
      </c>
      <c r="H49" s="7">
        <f>G49*(1+0.18)</f>
        <v/>
      </c>
    </row>
    <row r="50">
      <c r="A50" t="inlineStr">
        <is>
          <t>P5.10</t>
        </is>
      </c>
      <c r="B50" s="5" t="inlineStr">
        <is>
          <t>Cellar tanking: retaining walls (outer face) + under the floor, protection board, water-bars</t>
        </is>
      </c>
      <c r="C50" s="5" t="inlineStr">
        <is>
          <t>Rs 110/sft incl. GST (cellar report)</t>
        </is>
      </c>
      <c r="D50" s="6" t="n">
        <v>8342</v>
      </c>
      <c r="E50" t="inlineStr">
        <is>
          <t>sft</t>
        </is>
      </c>
      <c r="F50" s="6" t="n">
        <v>93</v>
      </c>
      <c r="G50" s="7">
        <f>D50*F50</f>
        <v/>
      </c>
      <c r="H50" s="7">
        <f>G50*(1+0.18)</f>
        <v/>
      </c>
    </row>
    <row r="51">
      <c r="A51" t="inlineStr">
        <is>
          <t>P5.11</t>
        </is>
      </c>
      <c r="B51" s="5" t="inlineStr">
        <is>
          <t>Ramp waterproofing + grooved finish, hump, grated channel at the top</t>
        </is>
      </c>
      <c r="C51" s="5" t="n"/>
      <c r="D51" s="6" t="n">
        <v>1</v>
      </c>
      <c r="E51" t="inlineStr">
        <is>
          <t>LS</t>
        </is>
      </c>
      <c r="F51" s="6" t="n">
        <v>130000</v>
      </c>
      <c r="G51" s="7">
        <f>D51*F51</f>
        <v/>
      </c>
      <c r="H51" s="7">
        <f>G51*(1+0.18)</f>
        <v/>
      </c>
    </row>
    <row r="52">
      <c r="A52" t="inlineStr">
        <is>
          <t>P5.12</t>
        </is>
      </c>
      <c r="B52" s="5" t="inlineStr">
        <is>
          <t>AC sleeves through the perimeter beams (75 PVC, puddle flange, sloped out), fixed before each pour</t>
        </is>
      </c>
      <c r="C52" s="5" t="inlineStr">
        <is>
          <t>SL-02 / SL-03: 14 per floor</t>
        </is>
      </c>
      <c r="D52" s="6" t="n">
        <v>70</v>
      </c>
      <c r="E52" t="inlineStr">
        <is>
          <t>nos</t>
        </is>
      </c>
      <c r="F52" s="6" t="n">
        <v>500</v>
      </c>
      <c r="G52" s="7">
        <f>D52*F52</f>
        <v/>
      </c>
      <c r="H52" s="7">
        <f>G52*(1+0.18)</f>
        <v/>
      </c>
    </row>
    <row r="53">
      <c r="B53" s="8" t="inlineStr">
        <is>
          <t>Sub-total · Common walls, plaster, waterproofing</t>
        </is>
      </c>
      <c r="G53" s="9">
        <f>SUM(G41:G52)</f>
        <v/>
      </c>
      <c r="H53" s="9">
        <f>SUM(H41:H52)</f>
        <v/>
      </c>
    </row>
    <row r="55">
      <c r="A55" s="3" t="inlineStr">
        <is>
          <t>Windows, balconies and railings</t>
        </is>
      </c>
      <c r="B55" s="4" t="n"/>
      <c r="C55" s="4" t="n"/>
      <c r="D55" s="4" t="n"/>
      <c r="E55" s="4" t="n"/>
      <c r="F55" s="4" t="n"/>
      <c r="G55" s="4" t="n"/>
      <c r="H55" s="4" t="n"/>
    </row>
    <row r="56">
      <c r="A56" t="inlineStr">
        <is>
          <t>P6.01</t>
        </is>
      </c>
      <c r="B56" s="5" t="inlineStr">
        <is>
          <t>W1 UPVC slider 5′-0″ × 5′-6″, 5 mm tinted glass, mesh</t>
        </is>
      </c>
      <c r="C56" s="5" t="inlineStr">
        <is>
          <t>40 nos · Kelvin Craft 2025 avg ₹360/sft + 15% (77:76 D-16)</t>
        </is>
      </c>
      <c r="D56" s="6" t="n">
        <v>1100</v>
      </c>
      <c r="E56" t="inlineStr">
        <is>
          <t>sft</t>
        </is>
      </c>
      <c r="F56" s="6" t="n">
        <v>414</v>
      </c>
      <c r="G56" s="7">
        <f>D56*F56</f>
        <v/>
      </c>
      <c r="H56" s="7">
        <f>G56*(1+0.18)</f>
        <v/>
      </c>
    </row>
    <row r="57">
      <c r="A57" t="inlineStr">
        <is>
          <t>P6.02</t>
        </is>
      </c>
      <c r="B57" s="5" t="inlineStr">
        <is>
          <t>W2 UPVC slider 6′-0″ × 5′-6″</t>
        </is>
      </c>
      <c r="C57" s="5" t="inlineStr">
        <is>
          <t>20 nos</t>
        </is>
      </c>
      <c r="D57" s="6" t="n">
        <v>660</v>
      </c>
      <c r="E57" t="inlineStr">
        <is>
          <t>sft</t>
        </is>
      </c>
      <c r="F57" s="6" t="n">
        <v>414</v>
      </c>
      <c r="G57" s="7">
        <f>D57*F57</f>
        <v/>
      </c>
      <c r="H57" s="7">
        <f>G57*(1+0.18)</f>
        <v/>
      </c>
    </row>
    <row r="58">
      <c r="A58" t="inlineStr">
        <is>
          <t>P6.03</t>
        </is>
      </c>
      <c r="B58" s="5" t="inlineStr">
        <is>
          <t>W3 UPVC 3-track 7′-0″ × 5′-6″</t>
        </is>
      </c>
      <c r="C58" s="5" t="inlineStr">
        <is>
          <t>10 nos</t>
        </is>
      </c>
      <c r="D58" s="6" t="n">
        <v>385</v>
      </c>
      <c r="E58" t="inlineStr">
        <is>
          <t>sft</t>
        </is>
      </c>
      <c r="F58" s="6" t="n">
        <v>414</v>
      </c>
      <c r="G58" s="7">
        <f>D58*F58</f>
        <v/>
      </c>
      <c r="H58" s="7">
        <f>G58*(1+0.18)</f>
        <v/>
      </c>
    </row>
    <row r="59">
      <c r="A59" t="inlineStr">
        <is>
          <t>P6.04</t>
        </is>
      </c>
      <c r="B59" s="5" t="inlineStr">
        <is>
          <t>W4 UPVC 3-track 8′-8″ × 5′-6″</t>
        </is>
      </c>
      <c r="C59" s="5" t="inlineStr">
        <is>
          <t>10 nos</t>
        </is>
      </c>
      <c r="D59" s="6" t="n">
        <v>476.7</v>
      </c>
      <c r="E59" t="inlineStr">
        <is>
          <t>sft</t>
        </is>
      </c>
      <c r="F59" s="6" t="n">
        <v>414</v>
      </c>
      <c r="G59" s="7">
        <f>D59*F59</f>
        <v/>
      </c>
      <c r="H59" s="7">
        <f>G59*(1+0.18)</f>
        <v/>
      </c>
    </row>
    <row r="60">
      <c r="A60" t="inlineStr">
        <is>
          <t>P6.05</t>
        </is>
      </c>
      <c r="B60" s="5" t="inlineStr">
        <is>
          <t>V1 UPVC ventilator 2′-0″ × 3′-0″, frosted, exhaust-fan frame</t>
        </is>
      </c>
      <c r="C60" s="5" t="inlineStr">
        <is>
          <t>70 nos · Kelvin Craft DMSS ₹5,040 + 15%</t>
        </is>
      </c>
      <c r="D60" s="6" t="n">
        <v>70</v>
      </c>
      <c r="E60" t="inlineStr">
        <is>
          <t>nos</t>
        </is>
      </c>
      <c r="F60" s="6" t="n">
        <v>5796</v>
      </c>
      <c r="G60" s="7">
        <f>D60*F60</f>
        <v/>
      </c>
      <c r="H60" s="7">
        <f>G60*(1+0.18)</f>
        <v/>
      </c>
    </row>
    <row r="61">
      <c r="A61" t="inlineStr">
        <is>
          <t>P6.06</t>
        </is>
      </c>
      <c r="B61" s="5" t="inlineStr">
        <is>
          <t>SD1 UPVC slider door 6′-9″ × 8′-0″ to the corner balcony</t>
        </is>
      </c>
      <c r="C61" s="5" t="inlineStr">
        <is>
          <t>10 nos</t>
        </is>
      </c>
      <c r="D61" s="6" t="n">
        <v>540</v>
      </c>
      <c r="E61" t="inlineStr">
        <is>
          <t>sft</t>
        </is>
      </c>
      <c r="F61" s="6" t="n">
        <v>483</v>
      </c>
      <c r="G61" s="7">
        <f>D61*F61</f>
        <v/>
      </c>
      <c r="H61" s="7">
        <f>G61*(1+0.18)</f>
        <v/>
      </c>
    </row>
    <row r="62">
      <c r="A62" t="inlineStr">
        <is>
          <t>P6.07</t>
        </is>
      </c>
      <c r="B62" s="5" t="inlineStr">
        <is>
          <t>Stair glazing (glass spine) 5′-6″ × 7′-6″</t>
        </is>
      </c>
      <c r="C62" s="5" t="inlineStr">
        <is>
          <t>5 nos</t>
        </is>
      </c>
      <c r="D62" s="6" t="n">
        <v>206.25</v>
      </c>
      <c r="E62" t="inlineStr">
        <is>
          <t>sft</t>
        </is>
      </c>
      <c r="F62" s="6" t="n">
        <v>520</v>
      </c>
      <c r="G62" s="7">
        <f>D62*F62</f>
        <v/>
      </c>
      <c r="H62" s="7">
        <f>G62*(1+0.18)</f>
        <v/>
      </c>
    </row>
    <row r="63">
      <c r="A63" t="inlineStr">
        <is>
          <t>P6.08</t>
        </is>
      </c>
      <c r="B63" s="5" t="inlineStr">
        <is>
          <t>Granite sills 20 mm to every window and ventilator</t>
        </is>
      </c>
      <c r="C63" s="5" t="inlineStr">
        <is>
          <t>GR-03: W1–W4 + V1 (was 617)</t>
        </is>
      </c>
      <c r="D63" s="6" t="n">
        <v>692</v>
      </c>
      <c r="E63" t="inlineStr">
        <is>
          <t>rft</t>
        </is>
      </c>
      <c r="F63" s="6" t="n">
        <v>260</v>
      </c>
      <c r="G63" s="7">
        <f>D63*F63</f>
        <v/>
      </c>
      <c r="H63" s="7">
        <f>G63*(1+0.18)</f>
        <v/>
      </c>
    </row>
    <row r="64">
      <c r="A64" t="inlineStr">
        <is>
          <t>P6.09</t>
        </is>
      </c>
      <c r="B64" s="5" t="inlineStr">
        <is>
          <t>Frameless glass railing 6 + 6 laminated in aluminium base channel</t>
        </is>
      </c>
      <c r="C64" s="5" t="inlineStr">
        <is>
          <t>9′-9″ per balcony × 10 (77:76 D-77 allowance)</t>
        </is>
      </c>
      <c r="D64" s="6" t="n">
        <v>97.5</v>
      </c>
      <c r="E64" t="inlineStr">
        <is>
          <t>rft</t>
        </is>
      </c>
      <c r="F64" s="6" t="n">
        <v>1500.01</v>
      </c>
      <c r="G64" s="7">
        <f>D64*F64</f>
        <v/>
      </c>
      <c r="H64" s="7">
        <f>G64*(1+0.18)</f>
        <v/>
      </c>
    </row>
    <row r="65">
      <c r="A65" t="inlineStr">
        <is>
          <t>P6.10</t>
        </is>
      </c>
      <c r="B65" s="5" t="inlineStr">
        <is>
          <t>Balcony floor tiles anti-skid (supply + screed + laying)</t>
        </is>
      </c>
      <c r="C65" s="5" t="inlineStr">
        <is>
          <t>10 × 28 sft</t>
        </is>
      </c>
      <c r="D65" s="6" t="n">
        <v>280</v>
      </c>
      <c r="E65" t="inlineStr">
        <is>
          <t>sft</t>
        </is>
      </c>
      <c r="F65" s="6" t="n">
        <v>94</v>
      </c>
      <c r="G65" s="7">
        <f>D65*F65</f>
        <v/>
      </c>
      <c r="H65" s="7">
        <f>G65*(1+0.18)</f>
        <v/>
      </c>
    </row>
    <row r="66">
      <c r="A66" t="inlineStr">
        <is>
          <t>P6.11</t>
        </is>
      </c>
      <c r="B66" s="5" t="inlineStr">
        <is>
          <t>Balcony ceiling PVC panels with trims</t>
        </is>
      </c>
      <c r="C66" s="5" t="inlineStr">
        <is>
          <t>client rate ₹130/sft incl. GST (77:76 D-82)</t>
        </is>
      </c>
      <c r="D66" s="6" t="n">
        <v>280</v>
      </c>
      <c r="E66" t="inlineStr">
        <is>
          <t>sft</t>
        </is>
      </c>
      <c r="F66" s="6" t="n">
        <v>110.17</v>
      </c>
      <c r="G66" s="7">
        <f>D66*F66</f>
        <v/>
      </c>
      <c r="H66" s="7">
        <f>G66*(1+0.18)</f>
        <v/>
      </c>
    </row>
    <row r="67">
      <c r="A67" t="inlineStr">
        <is>
          <t>P6.12</t>
        </is>
      </c>
      <c r="B67" s="5" t="inlineStr">
        <is>
          <t>Terrace door (steel, louvred) and MS doors at stilt (meter room, DG, pump room)</t>
        </is>
      </c>
      <c r="C67" s="5" t="inlineStr">
        <is>
          <t>WD-03</t>
        </is>
      </c>
      <c r="D67" s="6" t="n">
        <v>4</v>
      </c>
      <c r="E67" t="inlineStr">
        <is>
          <t>nos</t>
        </is>
      </c>
      <c r="F67" s="6" t="n">
        <v>18000</v>
      </c>
      <c r="G67" s="7">
        <f>D67*F67</f>
        <v/>
      </c>
      <c r="H67" s="7">
        <f>G67*(1+0.18)</f>
        <v/>
      </c>
    </row>
    <row r="68">
      <c r="A68" t="inlineStr">
        <is>
          <t>P6.13</t>
        </is>
      </c>
      <c r="B68" s="5" t="inlineStr">
        <is>
          <t>Fire-rated 2 h steel doors with closer: cellar stair + cellar lift lobby (cellar separation)</t>
        </is>
      </c>
      <c r="C68" s="5" t="inlineStr">
        <is>
          <t>WD-03 · found in the coverage check</t>
        </is>
      </c>
      <c r="D68" s="6" t="n">
        <v>2</v>
      </c>
      <c r="E68" t="inlineStr">
        <is>
          <t>nos</t>
        </is>
      </c>
      <c r="F68" s="6" t="n">
        <v>42000</v>
      </c>
      <c r="G68" s="7">
        <f>D68*F68</f>
        <v/>
      </c>
      <c r="H68" s="7">
        <f>G68*(1+0.18)</f>
        <v/>
      </c>
    </row>
    <row r="69">
      <c r="B69" s="8" t="inlineStr">
        <is>
          <t>Sub-total · Windows, balconies and railings</t>
        </is>
      </c>
      <c r="G69" s="9">
        <f>SUM(G56:G68)</f>
        <v/>
      </c>
      <c r="H69" s="9">
        <f>SUM(H56:H68)</f>
        <v/>
      </c>
    </row>
    <row r="71">
      <c r="A71" s="3" t="inlineStr">
        <is>
          <t>Facade and external paint (elevation)</t>
        </is>
      </c>
      <c r="B71" s="4" t="n"/>
      <c r="C71" s="4" t="n"/>
      <c r="D71" s="4" t="n"/>
      <c r="E71" s="4" t="n"/>
      <c r="F71" s="4" t="n"/>
      <c r="G71" s="4" t="n"/>
      <c r="H71" s="4" t="n"/>
    </row>
    <row r="72">
      <c r="A72" t="inlineStr">
        <is>
          <t>P7.01</t>
        </is>
      </c>
      <c r="B72" s="5" t="inlineStr">
        <is>
          <t>Exterior texture / emulsion system, primer + 2 coats (material)</t>
        </is>
      </c>
      <c r="C72" s="5" t="inlineStr">
        <is>
          <t>same area as external plaster</t>
        </is>
      </c>
      <c r="D72" s="6" t="n">
        <v>15000</v>
      </c>
      <c r="E72" t="inlineStr">
        <is>
          <t>sft</t>
        </is>
      </c>
      <c r="F72" s="6" t="n">
        <v>22</v>
      </c>
      <c r="G72" s="7">
        <f>D72*F72</f>
        <v/>
      </c>
      <c r="H72" s="7">
        <f>G72*(1+0.18)</f>
        <v/>
      </c>
    </row>
    <row r="73">
      <c r="A73" t="inlineStr">
        <is>
          <t>P7.02</t>
        </is>
      </c>
      <c r="B73" s="5" t="inlineStr">
        <is>
          <t>Exterior painting labour</t>
        </is>
      </c>
      <c r="C73" s="5" t="inlineStr">
        <is>
          <t>client rate ₹12/sft (77:76 D-90)</t>
        </is>
      </c>
      <c r="D73" s="6" t="n">
        <v>15000</v>
      </c>
      <c r="E73" t="inlineStr">
        <is>
          <t>sft</t>
        </is>
      </c>
      <c r="F73" s="6" t="n">
        <v>12</v>
      </c>
      <c r="G73" s="7">
        <f>D73*F73</f>
        <v/>
      </c>
      <c r="H73" s="7">
        <f>G73*(1+0.0)</f>
        <v/>
      </c>
    </row>
    <row r="74">
      <c r="A74" t="inlineStr">
        <is>
          <t>P7.03a</t>
        </is>
      </c>
      <c r="B74" s="5" t="inlineStr">
        <is>
          <t>Vertical louvre / fin strips over every ventilator and pipe duct</t>
        </is>
      </c>
      <c r="C74" s="5" t="inlineStr">
        <is>
          <t>Aluminium louvres on an ACP-clad carrier, 3′ wide, full height from the 1st floor to the parapet; 8 strips on the west face, 1 on each end face</t>
        </is>
      </c>
      <c r="D74" s="6" t="n">
        <v>1560</v>
      </c>
      <c r="E74" t="inlineStr">
        <is>
          <t>sft</t>
        </is>
      </c>
      <c r="F74" s="6" t="n">
        <v>625</v>
      </c>
      <c r="G74" s="7">
        <f>D74*F74</f>
        <v/>
      </c>
      <c r="H74" s="7">
        <f>G74*(1+0.18)</f>
        <v/>
      </c>
    </row>
    <row r="75">
      <c r="A75" t="inlineStr">
        <is>
          <t>P7.03b</t>
        </is>
      </c>
      <c r="B75" s="5" t="inlineStr">
        <is>
          <t>Window box-frame projections, black</t>
        </is>
      </c>
      <c r="C75" s="5" t="inlineStr">
        <is>
          <t>Matt black powder-coated aluminium box section, 9″ deep × 5″ face, round every window and the stair glazing</t>
        </is>
      </c>
      <c r="D75" s="6" t="n">
        <v>1313</v>
      </c>
      <c r="E75" t="inlineStr">
        <is>
          <t>rft</t>
        </is>
      </c>
      <c r="F75" s="6" t="n">
        <v>650</v>
      </c>
      <c r="G75" s="7">
        <f>D75*F75</f>
        <v/>
      </c>
      <c r="H75" s="7">
        <f>G75*(1+0.18)</f>
        <v/>
      </c>
    </row>
    <row r="76">
      <c r="A76" t="inlineStr">
        <is>
          <t>P7.03c</t>
        </is>
      </c>
      <c r="B76" s="5" t="inlineStr">
        <is>
          <t>Balcony slab-edge fascia, taupe ACP</t>
        </is>
      </c>
      <c r="C76" s="5" t="inlineStr">
        <is>
          <t>4 mm PVDF ACP, 1′6″ face with drip return, on the 10 corner balconies</t>
        </is>
      </c>
      <c r="D76" s="6" t="n">
        <v>97.5</v>
      </c>
      <c r="E76" t="inlineStr">
        <is>
          <t>rft</t>
        </is>
      </c>
      <c r="F76" s="6" t="n">
        <v>890</v>
      </c>
      <c r="G76" s="7">
        <f>D76*F76</f>
        <v/>
      </c>
      <c r="H76" s="7">
        <f>G76*(1+0.18)</f>
        <v/>
      </c>
    </row>
    <row r="77">
      <c r="A77" t="inlineStr">
        <is>
          <t>P7.03d</t>
        </is>
      </c>
      <c r="B77" s="5" t="inlineStr">
        <is>
          <t>Floor bands, taupe</t>
        </is>
      </c>
      <c r="C77" s="5" t="inlineStr">
        <is>
          <t>Texture-paint band 1′ high at each floor level on the three road faces (extra over the base paint)</t>
        </is>
      </c>
      <c r="D77" s="6" t="n">
        <v>1098</v>
      </c>
      <c r="E77" t="inlineStr">
        <is>
          <t>sft</t>
        </is>
      </c>
      <c r="F77" s="6" t="n">
        <v>30</v>
      </c>
      <c r="G77" s="7">
        <f>D77*F77</f>
        <v/>
      </c>
      <c r="H77" s="7">
        <f>G77*(1+0.18)</f>
        <v/>
      </c>
    </row>
    <row r="78">
      <c r="A78" t="inlineStr">
        <is>
          <t>P7.03e</t>
        </is>
      </c>
      <c r="B78" s="5" t="inlineStr">
        <is>
          <t>Wall field, ivory beige</t>
        </is>
      </c>
      <c r="C78" s="5" t="inlineStr">
        <is>
          <t>Exterior texture finish, ivory / warm beige (extra over the base emulsion)</t>
        </is>
      </c>
      <c r="D78" s="6" t="n">
        <v>3695</v>
      </c>
      <c r="E78" t="inlineStr">
        <is>
          <t>sft</t>
        </is>
      </c>
      <c r="F78" s="6" t="n">
        <v>30</v>
      </c>
      <c r="G78" s="7">
        <f>D78*F78</f>
        <v/>
      </c>
      <c r="H78" s="7">
        <f>G78*(1+0.18)</f>
        <v/>
      </c>
    </row>
    <row r="79">
      <c r="A79" t="inlineStr">
        <is>
          <t>P7.03f</t>
        </is>
      </c>
      <c r="B79" s="5" t="inlineStr">
        <is>
          <t>Terrace fin pergola over each wing</t>
        </is>
      </c>
      <c r="C79" s="5" t="inlineStr">
        <is>
          <t>6″ × 2″ champagne-grey ACP-clad aluminium fins at 1′ c/c, 12′ long, on a galvanised steel frame (2 pergolas, west face)</t>
        </is>
      </c>
      <c r="D79" s="6" t="n">
        <v>912</v>
      </c>
      <c r="E79" t="inlineStr">
        <is>
          <t>rft</t>
        </is>
      </c>
      <c r="F79" s="6" t="n">
        <v>700</v>
      </c>
      <c r="G79" s="7">
        <f>D79*F79</f>
        <v/>
      </c>
      <c r="H79" s="7">
        <f>G79*(1+0.18)</f>
        <v/>
      </c>
    </row>
    <row r="80">
      <c r="A80" t="inlineStr">
        <is>
          <t>P7.03g</t>
        </is>
      </c>
      <c r="B80" s="5" t="inlineStr">
        <is>
          <t>Warm-white linear LED</t>
        </is>
      </c>
      <c r="C80" s="5" t="inlineStr">
        <is>
          <t>3000 K, IP67, aluminium profile + diffuser: parapet line, stilt fascia and balcony soffits</t>
        </is>
      </c>
      <c r="D80" s="6" t="n">
        <v>464</v>
      </c>
      <c r="E80" t="inlineStr">
        <is>
          <t>rft</t>
        </is>
      </c>
      <c r="F80" s="6" t="n">
        <v>450</v>
      </c>
      <c r="G80" s="7">
        <f>D80*F80</f>
        <v/>
      </c>
      <c r="H80" s="7">
        <f>G80*(1+0.18)</f>
        <v/>
      </c>
    </row>
    <row r="81">
      <c r="A81" t="inlineStr">
        <is>
          <t>P7.03h</t>
        </is>
      </c>
      <c r="B81" s="5" t="inlineStr">
        <is>
          <t>LED drivers, wiring, timer</t>
        </is>
      </c>
      <c r="C81" s="5" t="inlineStr">
        <is>
          <t>IP67 drivers in accessible boxes, astronomical timer on the common DB</t>
        </is>
      </c>
      <c r="D81" s="6" t="n">
        <v>464</v>
      </c>
      <c r="E81" t="inlineStr">
        <is>
          <t>rft</t>
        </is>
      </c>
      <c r="F81" s="6" t="n">
        <v>120</v>
      </c>
      <c r="G81" s="7">
        <f>D81*F81</f>
        <v/>
      </c>
      <c r="H81" s="7">
        <f>G81*(1+0.18)</f>
        <v/>
      </c>
    </row>
    <row r="82">
      <c r="A82" t="inlineStr">
        <is>
          <t>P7.03i</t>
        </is>
      </c>
      <c r="B82" s="5" t="inlineStr">
        <is>
          <t>Flashings, cappings, sealant</t>
        </is>
      </c>
      <c r="C82" s="5" t="inlineStr">
        <is>
          <t>Folded aluminium + exterior silicone at all cladding edges</t>
        </is>
      </c>
      <c r="D82" s="6" t="n">
        <v>3000</v>
      </c>
      <c r="E82" t="inlineStr">
        <is>
          <t>sft</t>
        </is>
      </c>
      <c r="F82" s="6" t="n">
        <v>12</v>
      </c>
      <c r="G82" s="7">
        <f>D82*F82</f>
        <v/>
      </c>
      <c r="H82" s="7">
        <f>G82*(1+0.18)</f>
        <v/>
      </c>
    </row>
    <row r="83">
      <c r="A83" t="inlineStr">
        <is>
          <t>P7.03j</t>
        </is>
      </c>
      <c r="B83" s="5" t="inlineStr">
        <is>
          <t>Shop drawings, samples, mock-up, anchor pull-out tests</t>
        </is>
      </c>
      <c r="C83" s="5" t="inlineStr">
        <is>
          <t>Supplier's set-out over the elevation drawings; tests witnessed by the PMC</t>
        </is>
      </c>
      <c r="D83" s="6" t="n">
        <v>1</v>
      </c>
      <c r="E83" t="inlineStr">
        <is>
          <t>lot</t>
        </is>
      </c>
      <c r="F83" s="6" t="n">
        <v>65000</v>
      </c>
      <c r="G83" s="7">
        <f>D83*F83</f>
        <v/>
      </c>
      <c r="H83" s="7">
        <f>G83*(1+0.18)</f>
        <v/>
      </c>
    </row>
    <row r="84">
      <c r="A84" t="inlineStr">
        <is>
          <t>P7.03k</t>
        </is>
      </c>
      <c r="B84" s="5" t="inlineStr">
        <is>
          <t>Extended scaffold hire</t>
        </is>
      </c>
      <c r="C84" s="5" t="inlineStr">
        <is>
          <t>One extra month on the three road faces</t>
        </is>
      </c>
      <c r="D84" s="6" t="n">
        <v>9516</v>
      </c>
      <c r="E84" t="inlineStr">
        <is>
          <t>sft</t>
        </is>
      </c>
      <c r="F84" s="6" t="n">
        <v>3.5</v>
      </c>
      <c r="G84" s="7">
        <f>D84*F84</f>
        <v/>
      </c>
      <c r="H84" s="7">
        <f>G84*(1+0.18)</f>
        <v/>
      </c>
    </row>
    <row r="85">
      <c r="A85" t="inlineStr">
        <is>
          <t>P7.03l</t>
        </is>
      </c>
      <c r="B85" s="5" t="inlineStr">
        <is>
          <t>Credit: base exterior paint not needed under the cladding</t>
        </is>
      </c>
      <c r="C85" s="5" t="inlineStr">
        <is>
          <t>Behind the louvre strips</t>
        </is>
      </c>
      <c r="D85" s="6" t="n">
        <v>-1560</v>
      </c>
      <c r="E85" t="inlineStr">
        <is>
          <t>sft</t>
        </is>
      </c>
      <c r="F85" s="6" t="n">
        <v>26</v>
      </c>
      <c r="G85" s="7">
        <f>D85*F85</f>
        <v/>
      </c>
      <c r="H85" s="7">
        <f>G85*(1+0.18)</f>
        <v/>
      </c>
    </row>
    <row r="86">
      <c r="B86" s="8" t="inlineStr">
        <is>
          <t>Sub-total · Facade and external paint (elevation)</t>
        </is>
      </c>
      <c r="G86" s="9">
        <f>SUM(G72:G85)</f>
        <v/>
      </c>
      <c r="H86" s="9">
        <f>SUM(H72:H85)</f>
        <v/>
      </c>
    </row>
    <row r="88">
      <c r="A88" s="3" t="inlineStr">
        <is>
          <t>Core: stair, lobbies, stilt and cellar finishes</t>
        </is>
      </c>
      <c r="B88" s="4" t="n"/>
      <c r="C88" s="4" t="n"/>
      <c r="D88" s="4" t="n"/>
      <c r="E88" s="4" t="n"/>
      <c r="F88" s="4" t="n"/>
      <c r="G88" s="4" t="n"/>
      <c r="H88" s="4" t="n"/>
    </row>
    <row r="89">
      <c r="A89" t="inlineStr">
        <is>
          <t>P8.01</t>
        </is>
      </c>
      <c r="B89" s="5" t="inlineStr">
        <is>
          <t>Granite floor in lift lobby + common corridor, cellar + stilt + 5 floors</t>
        </is>
      </c>
      <c r="C89" s="5" t="inlineStr">
        <is>
          <t>174 sft × 7 levels · supply + laying</t>
        </is>
      </c>
      <c r="D89" s="6" t="n">
        <v>1218</v>
      </c>
      <c r="E89" t="inlineStr">
        <is>
          <t>sft</t>
        </is>
      </c>
      <c r="F89" s="6" t="n">
        <v>235</v>
      </c>
      <c r="G89" s="7">
        <f>D89*F89</f>
        <v/>
      </c>
      <c r="H89" s="7">
        <f>G89*(1+0.18)</f>
        <v/>
      </c>
    </row>
    <row r="90">
      <c r="A90" t="inlineStr">
        <is>
          <t>P8.02</t>
        </is>
      </c>
      <c r="B90" s="5" t="inlineStr">
        <is>
          <t>Granite skirting in lobbies</t>
        </is>
      </c>
      <c r="C90" s="5" t="inlineStr">
        <is>
          <t>GR-01 (was 360)</t>
        </is>
      </c>
      <c r="D90" s="6" t="n">
        <v>259</v>
      </c>
      <c r="E90" t="inlineStr">
        <is>
          <t>rft</t>
        </is>
      </c>
      <c r="F90" s="6" t="n">
        <v>120</v>
      </c>
      <c r="G90" s="7">
        <f>D90*F90</f>
        <v/>
      </c>
      <c r="H90" s="7">
        <f>G90*(1+0.18)</f>
        <v/>
      </c>
    </row>
    <row r="91">
      <c r="A91" t="inlineStr">
        <is>
          <t>P8.03</t>
        </is>
      </c>
      <c r="B91" s="5" t="inlineStr">
        <is>
          <t>Stair treads + risers in granite (anti-skid grooves), cellar to terrace</t>
        </is>
      </c>
      <c r="C91" s="5" t="inlineStr">
        <is>
          <t>7 runs</t>
        </is>
      </c>
      <c r="D91" s="6" t="n">
        <v>700</v>
      </c>
      <c r="E91" t="inlineStr">
        <is>
          <t>sft</t>
        </is>
      </c>
      <c r="F91" s="6" t="n">
        <v>260</v>
      </c>
      <c r="G91" s="7">
        <f>D91*F91</f>
        <v/>
      </c>
      <c r="H91" s="7">
        <f>G91*(1+0.18)</f>
        <v/>
      </c>
    </row>
    <row r="92">
      <c r="A92" t="inlineStr">
        <is>
          <t>P8.04</t>
        </is>
      </c>
      <c r="B92" s="5" t="inlineStr">
        <is>
          <t>Stair landings in granite</t>
        </is>
      </c>
      <c r="C92" s="5" t="inlineStr">
        <is>
          <t>14 mid landings</t>
        </is>
      </c>
      <c r="D92" s="6" t="n">
        <v>392</v>
      </c>
      <c r="E92" t="inlineStr">
        <is>
          <t>sft</t>
        </is>
      </c>
      <c r="F92" s="6" t="n">
        <v>235</v>
      </c>
      <c r="G92" s="7">
        <f>D92*F92</f>
        <v/>
      </c>
      <c r="H92" s="7">
        <f>G92*(1+0.18)</f>
        <v/>
      </c>
    </row>
    <row r="93">
      <c r="A93" t="inlineStr">
        <is>
          <t>P8.05</t>
        </is>
      </c>
      <c r="B93" s="5" t="inlineStr">
        <is>
          <t>Stair SS 304 handrail</t>
        </is>
      </c>
      <c r="C93" s="5" t="inlineStr">
        <is>
          <t>GR-02: 7 runs incl. landings (was 163)</t>
        </is>
      </c>
      <c r="D93" s="6" t="n">
        <v>224</v>
      </c>
      <c r="E93" t="inlineStr">
        <is>
          <t>rft</t>
        </is>
      </c>
      <c r="F93" s="6" t="n">
        <v>2200</v>
      </c>
      <c r="G93" s="7">
        <f>D93*F93</f>
        <v/>
      </c>
      <c r="H93" s="7">
        <f>G93*(1+0.18)</f>
        <v/>
      </c>
    </row>
    <row r="94">
      <c r="A94" t="inlineStr">
        <is>
          <t>P8.06</t>
        </is>
      </c>
      <c r="B94" s="5" t="inlineStr">
        <is>
          <t>Lift wall granite cladding + architrave</t>
        </is>
      </c>
      <c r="C94" s="5" t="inlineStr">
        <is>
          <t>GR-01: 7 levels (was 192)</t>
        </is>
      </c>
      <c r="D94" s="6" t="n">
        <v>211</v>
      </c>
      <c r="E94" t="inlineStr">
        <is>
          <t>sft</t>
        </is>
      </c>
      <c r="F94" s="6" t="n">
        <v>300</v>
      </c>
      <c r="G94" s="7">
        <f>D94*F94</f>
        <v/>
      </c>
      <c r="H94" s="7">
        <f>G94*(1+0.18)</f>
        <v/>
      </c>
    </row>
    <row r="95">
      <c r="A95" t="inlineStr">
        <is>
          <t>P8.07</t>
        </is>
      </c>
      <c r="B95" s="5" t="inlineStr">
        <is>
          <t>Lobby gypsum false ceiling</t>
        </is>
      </c>
      <c r="C95" s="5" t="inlineStr">
        <is>
          <t>client rate ₹100/sft incl. GST</t>
        </is>
      </c>
      <c r="D95" s="6" t="n">
        <v>1218</v>
      </c>
      <c r="E95" t="inlineStr">
        <is>
          <t>sft</t>
        </is>
      </c>
      <c r="F95" s="6" t="n">
        <v>84.75</v>
      </c>
      <c r="G95" s="7">
        <f>D95*F95</f>
        <v/>
      </c>
      <c r="H95" s="7">
        <f>G95*(1+0.18)</f>
        <v/>
      </c>
    </row>
    <row r="96">
      <c r="A96" t="inlineStr">
        <is>
          <t>P8.08</t>
        </is>
      </c>
      <c r="B96" s="5" t="inlineStr">
        <is>
          <t>Core walls and ceilings: putty, primer, 2 coats (material)</t>
        </is>
      </c>
      <c r="C96" s="5" t="inlineStr">
        <is>
          <t>PP-02 (was 10,500)</t>
        </is>
      </c>
      <c r="D96" s="6" t="n">
        <v>6350</v>
      </c>
      <c r="E96" t="inlineStr">
        <is>
          <t>sft</t>
        </is>
      </c>
      <c r="F96" s="6" t="n">
        <v>14</v>
      </c>
      <c r="G96" s="7">
        <f>D96*F96</f>
        <v/>
      </c>
      <c r="H96" s="7">
        <f>G96*(1+0.18)</f>
        <v/>
      </c>
    </row>
    <row r="97">
      <c r="A97" t="inlineStr">
        <is>
          <t>P8.09</t>
        </is>
      </c>
      <c r="B97" s="5" t="inlineStr">
        <is>
          <t>Stilt soffit + beams + columns paint (material)</t>
        </is>
      </c>
      <c r="C97" s="5" t="inlineStr">
        <is>
          <t>PP-02 (was 5,400)</t>
        </is>
      </c>
      <c r="D97" s="6" t="n">
        <v>5953</v>
      </c>
      <c r="E97" t="inlineStr">
        <is>
          <t>sft</t>
        </is>
      </c>
      <c r="F97" s="6" t="n">
        <v>10</v>
      </c>
      <c r="G97" s="7">
        <f>D97*F97</f>
        <v/>
      </c>
      <c r="H97" s="7">
        <f>G97*(1+0.18)</f>
        <v/>
      </c>
    </row>
    <row r="98">
      <c r="A98" t="inlineStr">
        <is>
          <t>P8.13</t>
        </is>
      </c>
      <c r="B98" s="5" t="inlineStr">
        <is>
          <t>Cellar soffit + beams, retaining walls, columns: primer + 2 coats (material)</t>
        </is>
      </c>
      <c r="C98" s="5" t="inlineStr">
        <is>
          <t>PP-02 · found in the coverage check</t>
        </is>
      </c>
      <c r="D98" s="6" t="n">
        <v>9219</v>
      </c>
      <c r="E98" t="inlineStr">
        <is>
          <t>sft</t>
        </is>
      </c>
      <c r="F98" s="6" t="n">
        <v>10</v>
      </c>
      <c r="G98" s="7">
        <f>D98*F98</f>
        <v/>
      </c>
      <c r="H98" s="7">
        <f>G98*(1+0.18)</f>
        <v/>
      </c>
    </row>
    <row r="99">
      <c r="A99" t="inlineStr">
        <is>
          <t>P8.10</t>
        </is>
      </c>
      <c r="B99" s="5" t="inlineStr">
        <is>
          <t>Painting labour, core + stilt + cellar</t>
        </is>
      </c>
      <c r="C99" s="5" t="inlineStr">
        <is>
          <t>client rate · PP-02</t>
        </is>
      </c>
      <c r="D99" s="6" t="n">
        <v>21522</v>
      </c>
      <c r="E99" t="inlineStr">
        <is>
          <t>sft</t>
        </is>
      </c>
      <c r="F99" s="6" t="n">
        <v>12</v>
      </c>
      <c r="G99" s="7">
        <f>D99*F99</f>
        <v/>
      </c>
      <c r="H99" s="7">
        <f>G99*(1+0.0)</f>
        <v/>
      </c>
    </row>
    <row r="100">
      <c r="A100" t="inlineStr">
        <is>
          <t>P8.11</t>
        </is>
      </c>
      <c r="B100" s="5" t="inlineStr">
        <is>
          <t>Parking (stilt + cellar, 38 cars): bay marking, wheel stoppers, corner guards, convex mirrors, ramp signals</t>
        </is>
      </c>
      <c r="C100" s="5" t="n"/>
      <c r="D100" s="6" t="n">
        <v>1</v>
      </c>
      <c r="E100" t="inlineStr">
        <is>
          <t>LS</t>
        </is>
      </c>
      <c r="F100" s="6" t="n">
        <v>220000</v>
      </c>
      <c r="G100" s="7">
        <f>D100*F100</f>
        <v/>
      </c>
      <c r="H100" s="7">
        <f>G100*(1+0.18)</f>
        <v/>
      </c>
    </row>
    <row r="101">
      <c r="A101" t="inlineStr">
        <is>
          <t>P8.12</t>
        </is>
      </c>
      <c r="B101" s="5" t="inlineStr">
        <is>
          <t>Letter boxes, signage, name boards, waiting bench</t>
        </is>
      </c>
      <c r="C101" s="5" t="n"/>
      <c r="D101" s="6" t="n">
        <v>1</v>
      </c>
      <c r="E101" t="inlineStr">
        <is>
          <t>LS</t>
        </is>
      </c>
      <c r="F101" s="6" t="n">
        <v>140000</v>
      </c>
      <c r="G101" s="7">
        <f>D101*F101</f>
        <v/>
      </c>
      <c r="H101" s="7">
        <f>G101*(1+0.18)</f>
        <v/>
      </c>
    </row>
    <row r="102">
      <c r="A102" t="inlineStr">
        <is>
          <t>P8.14</t>
        </is>
      </c>
      <c r="B102" s="5" t="inlineStr">
        <is>
          <t>Stair skirting 4″ black granite along flights and landings</t>
        </is>
      </c>
      <c r="C102" s="5" t="inlineStr">
        <is>
          <t>GR-02 · found in the coverage check</t>
        </is>
      </c>
      <c r="D102" s="6" t="n">
        <v>287</v>
      </c>
      <c r="E102" t="inlineStr">
        <is>
          <t>rft</t>
        </is>
      </c>
      <c r="F102" s="6" t="n">
        <v>120</v>
      </c>
      <c r="G102" s="7">
        <f>D102*F102</f>
        <v/>
      </c>
      <c r="H102" s="7">
        <f>G102*(1+0.18)</f>
        <v/>
      </c>
    </row>
    <row r="103">
      <c r="A103" t="inlineStr">
        <is>
          <t>P8.15</t>
        </is>
      </c>
      <c r="B103" s="5" t="inlineStr">
        <is>
          <t>Parapet + head room coping, 9″ black granite with drip both sides</t>
        </is>
      </c>
      <c r="C103" s="5" t="inlineStr">
        <is>
          <t>GR-03 / MW-03 · found in the coverage check</t>
        </is>
      </c>
      <c r="D103" s="6" t="n">
        <v>305</v>
      </c>
      <c r="E103" t="inlineStr">
        <is>
          <t>rft</t>
        </is>
      </c>
      <c r="F103" s="6" t="n">
        <v>350</v>
      </c>
      <c r="G103" s="7">
        <f>D103*F103</f>
        <v/>
      </c>
      <c r="H103" s="7">
        <f>G103*(1+0.18)</f>
        <v/>
      </c>
    </row>
    <row r="104">
      <c r="A104" t="inlineStr">
        <is>
          <t>P8.16</t>
        </is>
      </c>
      <c r="B104" s="5" t="inlineStr">
        <is>
          <t>MS railing 3′-6″ along the open cellar-ramp edge at ground (painted)</t>
        </is>
      </c>
      <c r="C104" s="5" t="inlineStr">
        <is>
          <t>PF-02 · found in the coverage check</t>
        </is>
      </c>
      <c r="D104" s="6" t="n">
        <v>86</v>
      </c>
      <c r="E104" t="inlineStr">
        <is>
          <t>rft</t>
        </is>
      </c>
      <c r="F104" s="6" t="n">
        <v>1100</v>
      </c>
      <c r="G104" s="7">
        <f>D104*F104</f>
        <v/>
      </c>
      <c r="H104" s="7">
        <f>G104*(1+0.18)</f>
        <v/>
      </c>
    </row>
    <row r="105">
      <c r="B105" s="8" t="inlineStr">
        <is>
          <t>Sub-total · Core: stair, lobbies, stilt and cellar finishes</t>
        </is>
      </c>
      <c r="G105" s="9">
        <f>SUM(G89:G104)</f>
        <v/>
      </c>
      <c r="H105" s="9">
        <f>SUM(H89:H104)</f>
        <v/>
      </c>
    </row>
    <row r="107">
      <c r="A107" s="3" t="inlineStr">
        <is>
          <t>Lift</t>
        </is>
      </c>
      <c r="B107" s="4" t="n"/>
      <c r="C107" s="4" t="n"/>
      <c r="D107" s="4" t="n"/>
      <c r="E107" s="4" t="n"/>
      <c r="F107" s="4" t="n"/>
      <c r="G107" s="4" t="n"/>
      <c r="H107" s="4" t="n"/>
    </row>
    <row r="108">
      <c r="A108" t="inlineStr">
        <is>
          <t>P9.01</t>
        </is>
      </c>
      <c r="B108" s="5" t="inlineStr">
        <is>
          <t>Lift-1: MRL 8-passenger, cellar + stilt + 5 floors (7 stops), auto doors, ARD</t>
        </is>
      </c>
      <c r="C108" s="5" t="inlineStr">
        <is>
          <t>client figure ₹15.5 L for 6 stops + ₹1.25 L extra stop (incl. GST)</t>
        </is>
      </c>
      <c r="D108" s="6" t="n">
        <v>1</v>
      </c>
      <c r="E108" t="inlineStr">
        <is>
          <t>nos</t>
        </is>
      </c>
      <c r="F108" s="6" t="n">
        <v>1675000</v>
      </c>
      <c r="G108" s="7">
        <f>D108*F108</f>
        <v/>
      </c>
      <c r="H108" s="7">
        <f>G108*(1+0.0)</f>
        <v/>
      </c>
    </row>
    <row r="109">
      <c r="A109" t="inlineStr">
        <is>
          <t>P9.02</t>
        </is>
      </c>
      <c r="B109" s="5" t="inlineStr">
        <is>
          <t>Lift civil support: pit ladder, hook beam, shaft lighting + vent, sill angles, fascia, shaft paint</t>
        </is>
      </c>
      <c r="C109" s="5" t="inlineStr">
        <is>
          <t>LF-01 · found in the coverage check</t>
        </is>
      </c>
      <c r="D109" s="6" t="n">
        <v>1</v>
      </c>
      <c r="E109" t="inlineStr">
        <is>
          <t>LS</t>
        </is>
      </c>
      <c r="F109" s="6" t="n">
        <v>85000</v>
      </c>
      <c r="G109" s="7">
        <f>D109*F109</f>
        <v/>
      </c>
      <c r="H109" s="7">
        <f>G109*(1+0.18)</f>
        <v/>
      </c>
    </row>
    <row r="110">
      <c r="B110" s="8" t="inlineStr">
        <is>
          <t>Sub-total · Lift</t>
        </is>
      </c>
      <c r="G110" s="9">
        <f>SUM(G108:G109)</f>
        <v/>
      </c>
      <c r="H110" s="9">
        <f>SUM(H108:H109)</f>
        <v/>
      </c>
    </row>
    <row r="112">
      <c r="A112" s="3" t="inlineStr">
        <is>
          <t>Plumbing, drainage, water</t>
        </is>
      </c>
      <c r="B112" s="4" t="n"/>
      <c r="C112" s="4" t="n"/>
      <c r="D112" s="4" t="n"/>
      <c r="E112" s="4" t="n"/>
      <c r="F112" s="4" t="n"/>
      <c r="G112" s="4" t="n"/>
      <c r="H112" s="4" t="n"/>
    </row>
    <row r="113">
      <c r="A113" t="inlineStr">
        <is>
          <t>P10.01</t>
        </is>
      </c>
      <c r="B113" s="5" t="inlineStr">
        <is>
          <t>Bore well drilling 6½″, avg 500 ft each (2 bores, 1 per wing)</t>
        </is>
      </c>
      <c r="C113" s="5" t="inlineStr">
        <is>
          <t>Hyderabad drilling rate allowance; depth by hydrogeologist</t>
        </is>
      </c>
      <c r="D113" s="6" t="n">
        <v>1000</v>
      </c>
      <c r="E113" t="inlineStr">
        <is>
          <t>ft</t>
        </is>
      </c>
      <c r="F113" s="6" t="n">
        <v>120</v>
      </c>
      <c r="G113" s="7">
        <f>D113*F113</f>
        <v/>
      </c>
      <c r="H113" s="7">
        <f>G113*(1+0.18)</f>
        <v/>
      </c>
    </row>
    <row r="114">
      <c r="A114" t="inlineStr">
        <is>
          <t>P10.02</t>
        </is>
      </c>
      <c r="B114" s="5" t="inlineStr">
        <is>
          <t>PVC casing 7″, 60 ft per bore</t>
        </is>
      </c>
      <c r="C114" s="5" t="n"/>
      <c r="D114" s="6" t="n">
        <v>120</v>
      </c>
      <c r="E114" t="inlineStr">
        <is>
          <t>ft</t>
        </is>
      </c>
      <c r="F114" s="6" t="n">
        <v>500</v>
      </c>
      <c r="G114" s="7">
        <f>D114*F114</f>
        <v/>
      </c>
      <c r="H114" s="7">
        <f>G114*(1+0.18)</f>
        <v/>
      </c>
    </row>
    <row r="115">
      <c r="A115" t="inlineStr">
        <is>
          <t>P10.03</t>
        </is>
      </c>
      <c r="B115" s="5" t="inlineStr">
        <is>
          <t>Submersible pump 1.5 HP with starter panel</t>
        </is>
      </c>
      <c r="C115" s="5" t="inlineStr">
        <is>
          <t>1 per bore</t>
        </is>
      </c>
      <c r="D115" s="6" t="n">
        <v>2</v>
      </c>
      <c r="E115" t="inlineStr">
        <is>
          <t>nos</t>
        </is>
      </c>
      <c r="F115" s="6" t="n">
        <v>36000</v>
      </c>
      <c r="G115" s="7">
        <f>D115*F115</f>
        <v/>
      </c>
      <c r="H115" s="7">
        <f>G115*(1+0.18)</f>
        <v/>
      </c>
    </row>
    <row r="116">
      <c r="A116" t="inlineStr">
        <is>
          <t>P10.04</t>
        </is>
      </c>
      <c r="B116" s="5" t="inlineStr">
        <is>
          <t>Column pipe 1¼″ HDPE + 3-core 2.5 sq mm submersible cable, 400 ft per bore</t>
        </is>
      </c>
      <c r="C116" s="5" t="n"/>
      <c r="D116" s="6" t="n">
        <v>800</v>
      </c>
      <c r="E116" t="inlineStr">
        <is>
          <t>ft</t>
        </is>
      </c>
      <c r="F116" s="6" t="n">
        <v>140</v>
      </c>
      <c r="G116" s="7">
        <f>D116*F116</f>
        <v/>
      </c>
      <c r="H116" s="7">
        <f>G116*(1+0.18)</f>
        <v/>
      </c>
    </row>
    <row r="117">
      <c r="A117" t="inlineStr">
        <is>
          <t>P10.05</t>
        </is>
      </c>
      <c r="B117" s="5" t="inlineStr">
        <is>
          <t>Bore → sump line CPVC 1¼″ + valves</t>
        </is>
      </c>
      <c r="C117" s="5" t="n"/>
      <c r="D117" s="6" t="n">
        <v>120</v>
      </c>
      <c r="E117" t="inlineStr">
        <is>
          <t>ft</t>
        </is>
      </c>
      <c r="F117" s="6" t="n">
        <v>180</v>
      </c>
      <c r="G117" s="7">
        <f>D117*F117</f>
        <v/>
      </c>
      <c r="H117" s="7">
        <f>G117*(1+0.18)</f>
        <v/>
      </c>
    </row>
    <row r="118">
      <c r="A118" t="inlineStr">
        <is>
          <t>P10.06</t>
        </is>
      </c>
      <c r="B118" s="5" t="inlineStr">
        <is>
          <t>Sump fittings: covers, ladder, float switches, inlet / tanker filling point (per sump)</t>
        </is>
      </c>
      <c r="C118" s="5" t="inlineStr">
        <is>
          <t>2 sumps × 30 kL (RCC in Structure)</t>
        </is>
      </c>
      <c r="D118" s="6" t="n">
        <v>2</v>
      </c>
      <c r="E118" t="inlineStr">
        <is>
          <t>set</t>
        </is>
      </c>
      <c r="F118" s="6" t="n">
        <v>18000</v>
      </c>
      <c r="G118" s="7">
        <f>D118*F118</f>
        <v/>
      </c>
      <c r="H118" s="7">
        <f>G118*(1+0.18)</f>
        <v/>
      </c>
    </row>
    <row r="119">
      <c r="A119" t="inlineStr">
        <is>
          <t>P10.07</t>
        </is>
      </c>
      <c r="B119" s="5" t="inlineStr">
        <is>
          <t>OHT fittings: covers, ladder, overflow, scour, level indicator (per OHT)</t>
        </is>
      </c>
      <c r="C119" s="5" t="inlineStr">
        <is>
          <t>2 OHTs × 10 kL (RCC in Structure)</t>
        </is>
      </c>
      <c r="D119" s="6" t="n">
        <v>2</v>
      </c>
      <c r="E119" t="inlineStr">
        <is>
          <t>set</t>
        </is>
      </c>
      <c r="F119" s="6" t="n">
        <v>15000</v>
      </c>
      <c r="G119" s="7">
        <f>D119*F119</f>
        <v/>
      </c>
      <c r="H119" s="7">
        <f>G119*(1+0.18)</f>
        <v/>
      </c>
    </row>
    <row r="120">
      <c r="A120" t="inlineStr">
        <is>
          <t>P10.08</t>
        </is>
      </c>
      <c r="B120" s="5" t="inlineStr">
        <is>
          <t>Transfer pumps 1.5 HP monoblock, 1 + 1 per wing</t>
        </is>
      </c>
      <c r="C120" s="5" t="n"/>
      <c r="D120" s="6" t="n">
        <v>4</v>
      </c>
      <c r="E120" t="inlineStr">
        <is>
          <t>nos</t>
        </is>
      </c>
      <c r="F120" s="6" t="n">
        <v>22000</v>
      </c>
      <c r="G120" s="7">
        <f>D120*F120</f>
        <v/>
      </c>
      <c r="H120" s="7">
        <f>G120*(1+0.18)</f>
        <v/>
      </c>
    </row>
    <row r="121">
      <c r="A121" t="inlineStr">
        <is>
          <t>P10.09</t>
        </is>
      </c>
      <c r="B121" s="5" t="inlineStr">
        <is>
          <t>Pump panel with dry-run + level controller, 1 per wing</t>
        </is>
      </c>
      <c r="C121" s="5" t="n"/>
      <c r="D121" s="6" t="n">
        <v>2</v>
      </c>
      <c r="E121" t="inlineStr">
        <is>
          <t>nos</t>
        </is>
      </c>
      <c r="F121" s="6" t="n">
        <v>15000</v>
      </c>
      <c r="G121" s="7">
        <f>D121*F121</f>
        <v/>
      </c>
      <c r="H121" s="7">
        <f>G121*(1+0.18)</f>
        <v/>
      </c>
    </row>
    <row r="122">
      <c r="A122" t="inlineStr">
        <is>
          <t>P10.10</t>
        </is>
      </c>
      <c r="B122" s="5" t="inlineStr">
        <is>
          <t>Rising main CPVC 1½″ sump → OHT (2 × 90 ft) + NRV + valves</t>
        </is>
      </c>
      <c r="C122" s="5" t="n"/>
      <c r="D122" s="6" t="n">
        <v>180</v>
      </c>
      <c r="E122" t="inlineStr">
        <is>
          <t>ft</t>
        </is>
      </c>
      <c r="F122" s="6" t="n">
        <v>300</v>
      </c>
      <c r="G122" s="7">
        <f>D122*F122</f>
        <v/>
      </c>
      <c r="H122" s="7">
        <f>G122*(1+0.18)</f>
        <v/>
      </c>
    </row>
    <row r="123">
      <c r="A123" t="inlineStr">
        <is>
          <t>P10.11</t>
        </is>
      </c>
      <c r="B123" s="5" t="inlineStr">
        <is>
          <t>Terrace headers CPVC 1½″ (2 × 60 ft) + valves</t>
        </is>
      </c>
      <c r="C123" s="5" t="n"/>
      <c r="D123" s="6" t="n">
        <v>120</v>
      </c>
      <c r="E123" t="inlineStr">
        <is>
          <t>ft</t>
        </is>
      </c>
      <c r="F123" s="6" t="n">
        <v>300</v>
      </c>
      <c r="G123" s="7">
        <f>D123*F123</f>
        <v/>
      </c>
      <c r="H123" s="7">
        <f>G123*(1+0.18)</f>
        <v/>
      </c>
    </row>
    <row r="124">
      <c r="A124" t="inlineStr">
        <is>
          <t>P10.12</t>
        </is>
      </c>
      <c r="B124" s="5" t="inlineStr">
        <is>
          <t>Down-takes CPVC 1″ (8 stacks × 62 ft)</t>
        </is>
      </c>
      <c r="C124" s="5" t="inlineStr">
        <is>
          <t>hostel 4 + office 4 stacks</t>
        </is>
      </c>
      <c r="D124" s="6" t="n">
        <v>496</v>
      </c>
      <c r="E124" t="inlineStr">
        <is>
          <t>ft</t>
        </is>
      </c>
      <c r="F124" s="6" t="n">
        <v>160</v>
      </c>
      <c r="G124" s="7">
        <f>D124*F124</f>
        <v/>
      </c>
      <c r="H124" s="7">
        <f>G124*(1+0.18)</f>
        <v/>
      </c>
    </row>
    <row r="125">
      <c r="A125" t="inlineStr">
        <is>
          <t>P10.13</t>
        </is>
      </c>
      <c r="B125" s="5" t="inlineStr">
        <is>
          <t>Branch ¾″ with ball valve into each wet room</t>
        </is>
      </c>
      <c r="C125" s="5" t="inlineStr">
        <is>
          <t>hostel 6 + office 5 per floor × 5</t>
        </is>
      </c>
      <c r="D125" s="6" t="n">
        <v>55</v>
      </c>
      <c r="E125" t="inlineStr">
        <is>
          <t>nos</t>
        </is>
      </c>
      <c r="F125" s="6" t="n">
        <v>1200</v>
      </c>
      <c r="G125" s="7">
        <f>D125*F125</f>
        <v/>
      </c>
      <c r="H125" s="7">
        <f>G125*(1+0.18)</f>
        <v/>
      </c>
    </row>
    <row r="126">
      <c r="A126" t="inlineStr">
        <is>
          <t>P10.14</t>
        </is>
      </c>
      <c r="B126" s="5" t="inlineStr">
        <is>
          <t>SWR 110 mm soil stacks (8 × 62 ft)</t>
        </is>
      </c>
      <c r="C126" s="5" t="n"/>
      <c r="D126" s="6" t="n">
        <v>496</v>
      </c>
      <c r="E126" t="inlineStr">
        <is>
          <t>ft</t>
        </is>
      </c>
      <c r="F126" s="6" t="n">
        <v>190</v>
      </c>
      <c r="G126" s="7">
        <f>D126*F126</f>
        <v/>
      </c>
      <c r="H126" s="7">
        <f>G126*(1+0.18)</f>
        <v/>
      </c>
    </row>
    <row r="127">
      <c r="A127" t="inlineStr">
        <is>
          <t>P10.15</t>
        </is>
      </c>
      <c r="B127" s="5" t="inlineStr">
        <is>
          <t>SWR 75 mm waste stacks (8 × 62 ft)</t>
        </is>
      </c>
      <c r="C127" s="5" t="n"/>
      <c r="D127" s="6" t="n">
        <v>496</v>
      </c>
      <c r="E127" t="inlineStr">
        <is>
          <t>ft</t>
        </is>
      </c>
      <c r="F127" s="6" t="n">
        <v>130</v>
      </c>
      <c r="G127" s="7">
        <f>D127*F127</f>
        <v/>
      </c>
      <c r="H127" s="7">
        <f>G127*(1+0.18)</f>
        <v/>
      </c>
    </row>
    <row r="128">
      <c r="A128" t="inlineStr">
        <is>
          <t>P10.16</t>
        </is>
      </c>
      <c r="B128" s="5" t="inlineStr">
        <is>
          <t>SWR 75 mm vent stacks (8 × 62 ft) + cowls</t>
        </is>
      </c>
      <c r="C128" s="5" t="n"/>
      <c r="D128" s="6" t="n">
        <v>496</v>
      </c>
      <c r="E128" t="inlineStr">
        <is>
          <t>ft</t>
        </is>
      </c>
      <c r="F128" s="6" t="n">
        <v>130</v>
      </c>
      <c r="G128" s="7">
        <f>D128*F128</f>
        <v/>
      </c>
      <c r="H128" s="7">
        <f>G128*(1+0.18)</f>
        <v/>
      </c>
    </row>
    <row r="129">
      <c r="A129" t="inlineStr">
        <is>
          <t>P10.17</t>
        </is>
      </c>
      <c r="B129" s="5" t="inlineStr">
        <is>
          <t>SWR fittings, clamps every 5 ft, solvent (≈ 30% of the stack pipe)</t>
        </is>
      </c>
      <c r="C129" s="5" t="n"/>
      <c r="D129" s="6" t="n">
        <v>1</v>
      </c>
      <c r="E129" t="inlineStr">
        <is>
          <t>LS</t>
        </is>
      </c>
      <c r="F129" s="6" t="n">
        <v>67000</v>
      </c>
      <c r="G129" s="7">
        <f>D129*F129</f>
        <v/>
      </c>
      <c r="H129" s="7">
        <f>G129*(1+0.18)</f>
        <v/>
      </c>
    </row>
    <row r="130">
      <c r="A130" t="inlineStr">
        <is>
          <t>P10.18</t>
        </is>
      </c>
      <c r="B130" s="5" t="inlineStr">
        <is>
          <t>Slab drain sleeves + below-slab drains to the stacks, per wet room</t>
        </is>
      </c>
      <c r="C130" s="5" t="n"/>
      <c r="D130" s="6" t="n">
        <v>55</v>
      </c>
      <c r="E130" t="inlineStr">
        <is>
          <t>nos</t>
        </is>
      </c>
      <c r="F130" s="6" t="n">
        <v>3500</v>
      </c>
      <c r="G130" s="7">
        <f>D130*F130</f>
        <v/>
      </c>
      <c r="H130" s="7">
        <f>G130*(1+0.18)</f>
        <v/>
      </c>
    </row>
    <row r="131">
      <c r="A131" t="inlineStr">
        <is>
          <t>P10.19</t>
        </is>
      </c>
      <c r="B131" s="5" t="inlineStr">
        <is>
          <t>Rainwater outlets (6) + 110 mm down pipes</t>
        </is>
      </c>
      <c r="C131" s="5" t="inlineStr">
        <is>
          <t>TR-02: 6 × 64 ft</t>
        </is>
      </c>
      <c r="D131" s="6" t="n">
        <v>384</v>
      </c>
      <c r="E131" t="inlineStr">
        <is>
          <t>ft</t>
        </is>
      </c>
      <c r="F131" s="6" t="n">
        <v>260</v>
      </c>
      <c r="G131" s="7">
        <f>D131*F131</f>
        <v/>
      </c>
      <c r="H131" s="7">
        <f>G131*(1+0.18)</f>
        <v/>
      </c>
    </row>
    <row r="132">
      <c r="A132" t="inlineStr">
        <is>
          <t>P10.20</t>
        </is>
      </c>
      <c r="B132" s="5" t="inlineStr">
        <is>
          <t>External sewer SWR 150 mm</t>
        </is>
      </c>
      <c r="C132" s="5" t="n"/>
      <c r="D132" s="6" t="n">
        <v>250</v>
      </c>
      <c r="E132" t="inlineStr">
        <is>
          <t>ft</t>
        </is>
      </c>
      <c r="F132" s="6" t="n">
        <v>420</v>
      </c>
      <c r="G132" s="7">
        <f>D132*F132</f>
        <v/>
      </c>
      <c r="H132" s="7">
        <f>G132*(1+0.18)</f>
        <v/>
      </c>
    </row>
    <row r="133">
      <c r="A133" t="inlineStr">
        <is>
          <t>P10.21</t>
        </is>
      </c>
      <c r="B133" s="5" t="inlineStr">
        <is>
          <t>Inspection chambers (brick, CI covers)</t>
        </is>
      </c>
      <c r="C133" s="5" t="n"/>
      <c r="D133" s="6" t="n">
        <v>8</v>
      </c>
      <c r="E133" t="inlineStr">
        <is>
          <t>nos</t>
        </is>
      </c>
      <c r="F133" s="6" t="n">
        <v>9000</v>
      </c>
      <c r="G133" s="7">
        <f>D133*F133</f>
        <v/>
      </c>
      <c r="H133" s="7">
        <f>G133*(1+0.18)</f>
        <v/>
      </c>
    </row>
    <row r="134">
      <c r="A134" t="inlineStr">
        <is>
          <t>P10.22</t>
        </is>
      </c>
      <c r="B134" s="5" t="inlineStr">
        <is>
          <t>Storm drain (precast U-drain + grating)</t>
        </is>
      </c>
      <c r="C134" s="5" t="n"/>
      <c r="D134" s="6" t="n">
        <v>300</v>
      </c>
      <c r="E134" t="inlineStr">
        <is>
          <t>ft</t>
        </is>
      </c>
      <c r="F134" s="6" t="n">
        <v>450</v>
      </c>
      <c r="G134" s="7">
        <f>D134*F134</f>
        <v/>
      </c>
      <c r="H134" s="7">
        <f>G134*(1+0.18)</f>
        <v/>
      </c>
    </row>
    <row r="135">
      <c r="A135" t="inlineStr">
        <is>
          <t>P10.23</t>
        </is>
      </c>
      <c r="B135" s="5" t="inlineStr">
        <is>
          <t>Rainwater-harvesting pits</t>
        </is>
      </c>
      <c r="C135" s="5" t="n"/>
      <c r="D135" s="6" t="n">
        <v>2</v>
      </c>
      <c r="E135" t="inlineStr">
        <is>
          <t>nos</t>
        </is>
      </c>
      <c r="F135" s="6" t="n">
        <v>45000</v>
      </c>
      <c r="G135" s="7">
        <f>D135*F135</f>
        <v/>
      </c>
      <c r="H135" s="7">
        <f>G135*(1+0.18)</f>
        <v/>
      </c>
    </row>
    <row r="136">
      <c r="A136" t="inlineStr">
        <is>
          <t>P10.24</t>
        </is>
      </c>
      <c r="B136" s="5" t="inlineStr">
        <is>
          <t>Booster pump set per wing (top floors)</t>
        </is>
      </c>
      <c r="C136" s="5" t="n"/>
      <c r="D136" s="6" t="n">
        <v>2</v>
      </c>
      <c r="E136" t="inlineStr">
        <is>
          <t>nos</t>
        </is>
      </c>
      <c r="F136" s="6" t="n">
        <v>85000</v>
      </c>
      <c r="G136" s="7">
        <f>D136*F136</f>
        <v/>
      </c>
      <c r="H136" s="7">
        <f>G136*(1+0.18)</f>
        <v/>
      </c>
    </row>
    <row r="137">
      <c r="A137" t="inlineStr">
        <is>
          <t>P10.25</t>
        </is>
      </c>
      <c r="B137" s="5" t="inlineStr">
        <is>
          <t>HMWSSB connection pipes, meter chamber</t>
        </is>
      </c>
      <c r="C137" s="5" t="n"/>
      <c r="D137" s="6" t="n">
        <v>1</v>
      </c>
      <c r="E137" t="inlineStr">
        <is>
          <t>LS</t>
        </is>
      </c>
      <c r="F137" s="6" t="n">
        <v>60000</v>
      </c>
      <c r="G137" s="7">
        <f>D137*F137</f>
        <v/>
      </c>
      <c r="H137" s="7">
        <f>G137*(1+0.18)</f>
        <v/>
      </c>
    </row>
    <row r="138">
      <c r="A138" t="inlineStr">
        <is>
          <t>P10.27</t>
        </is>
      </c>
      <c r="B138" s="5" t="inlineStr">
        <is>
          <t>Cellar sump pit + 2 dewatering pumps (auto) + drain channels with gratings</t>
        </is>
      </c>
      <c r="C138" s="5" t="inlineStr">
        <is>
          <t>ramp-foot channel + floor channels to the pit</t>
        </is>
      </c>
      <c r="D138" s="6" t="n">
        <v>1</v>
      </c>
      <c r="E138" t="inlineStr">
        <is>
          <t>LS</t>
        </is>
      </c>
      <c r="F138" s="6" t="n">
        <v>160000</v>
      </c>
      <c r="G138" s="7">
        <f>D138*F138</f>
        <v/>
      </c>
      <c r="H138" s="7">
        <f>G138*(1+0.18)</f>
        <v/>
      </c>
    </row>
    <row r="139">
      <c r="A139" t="inlineStr">
        <is>
          <t>P10.28</t>
        </is>
      </c>
      <c r="B139" s="5" t="inlineStr">
        <is>
          <t>Stilt-ceiling collectors for the east stacks over the ramp: SWR 150, fittings, clamps, cleaning eyes, 2 screened boxes</t>
        </is>
      </c>
      <c r="C139" s="5" t="inlineStr">
        <is>
          <t>DR-03 · found in the coverage check</t>
        </is>
      </c>
      <c r="D139" s="6" t="n">
        <v>1</v>
      </c>
      <c r="E139" t="inlineStr">
        <is>
          <t>LS</t>
        </is>
      </c>
      <c r="F139" s="6" t="n">
        <v>95000</v>
      </c>
      <c r="G139" s="7">
        <f>D139*F139</f>
        <v/>
      </c>
      <c r="H139" s="7">
        <f>G139*(1+0.18)</f>
        <v/>
      </c>
    </row>
    <row r="140">
      <c r="A140" t="inlineStr">
        <is>
          <t>P10.26</t>
        </is>
      </c>
      <c r="B140" s="5" t="inlineStr">
        <is>
          <t>Plumbing labour for common works</t>
        </is>
      </c>
      <c r="C140" s="5" t="inlineStr">
        <is>
          <t>PMC allowance</t>
        </is>
      </c>
      <c r="D140" s="6" t="n">
        <v>1</v>
      </c>
      <c r="E140" t="inlineStr">
        <is>
          <t>LS</t>
        </is>
      </c>
      <c r="F140" s="6" t="n">
        <v>300000</v>
      </c>
      <c r="G140" s="7">
        <f>D140*F140</f>
        <v/>
      </c>
      <c r="H140" s="7">
        <f>G140*(1+0.0)</f>
        <v/>
      </c>
    </row>
    <row r="141">
      <c r="B141" s="8" t="inlineStr">
        <is>
          <t>Sub-total · Plumbing, drainage, water</t>
        </is>
      </c>
      <c r="G141" s="9">
        <f>SUM(G113:G140)</f>
        <v/>
      </c>
      <c r="H141" s="9">
        <f>SUM(H113:H140)</f>
        <v/>
      </c>
    </row>
    <row r="143">
      <c r="A143" s="3" t="inlineStr">
        <is>
          <t>Electrical, security, fire</t>
        </is>
      </c>
      <c r="B143" s="4" t="n"/>
      <c r="C143" s="4" t="n"/>
      <c r="D143" s="4" t="n"/>
      <c r="E143" s="4" t="n"/>
      <c r="F143" s="4" t="n"/>
      <c r="G143" s="4" t="n"/>
      <c r="H143" s="4" t="n"/>
    </row>
    <row r="144">
      <c r="A144" t="inlineStr">
        <is>
          <t>P11.01</t>
        </is>
      </c>
      <c r="B144" s="5" t="inlineStr">
        <is>
          <t>Transformer 160 kVA + HT works (only if TSSPDCL demands)</t>
        </is>
      </c>
      <c r="C144" s="5" t="inlineStr">
        <is>
          <t>demand ≈ 130 kVA</t>
        </is>
      </c>
      <c r="D144" s="6" t="n">
        <v>1</v>
      </c>
      <c r="E144" t="inlineStr">
        <is>
          <t>LS</t>
        </is>
      </c>
      <c r="F144" s="6" t="n">
        <v>1000000</v>
      </c>
      <c r="G144" s="7">
        <f>D144*F144</f>
        <v/>
      </c>
      <c r="H144" s="7">
        <f>G144*(1+0.18)</f>
        <v/>
      </c>
    </row>
    <row r="145">
      <c r="A145" t="inlineStr">
        <is>
          <t>P11.02</t>
        </is>
      </c>
      <c r="B145" s="5" t="inlineStr">
        <is>
          <t>Main LT panel with 250 A MCCB, busbars, metering</t>
        </is>
      </c>
      <c r="C145" s="5" t="n"/>
      <c r="D145" s="6" t="n">
        <v>1</v>
      </c>
      <c r="E145" t="inlineStr">
        <is>
          <t>nos</t>
        </is>
      </c>
      <c r="F145" s="6" t="n">
        <v>200000</v>
      </c>
      <c r="G145" s="7">
        <f>D145*F145</f>
        <v/>
      </c>
      <c r="H145" s="7">
        <f>G145*(1+0.18)</f>
        <v/>
      </c>
    </row>
    <row r="146">
      <c r="A146" t="inlineStr">
        <is>
          <t>P11.03</t>
        </is>
      </c>
      <c r="B146" s="5" t="inlineStr">
        <is>
          <t>Meter panel: 10 unit 3-phase meters + 2 common, outgoing MCCBs</t>
        </is>
      </c>
      <c r="C146" s="5" t="n"/>
      <c r="D146" s="6" t="n">
        <v>1</v>
      </c>
      <c r="E146" t="inlineStr">
        <is>
          <t>nos</t>
        </is>
      </c>
      <c r="F146" s="6" t="n">
        <v>350000</v>
      </c>
      <c r="G146" s="7">
        <f>D146*F146</f>
        <v/>
      </c>
      <c r="H146" s="7">
        <f>G146*(1+0.18)</f>
        <v/>
      </c>
    </row>
    <row r="147">
      <c r="A147" t="inlineStr">
        <is>
          <t>P11.04</t>
        </is>
      </c>
      <c r="B147" s="5" t="inlineStr">
        <is>
          <t>Service cable 4C × 240 sq mm Al armoured + terminations</t>
        </is>
      </c>
      <c r="C147" s="5" t="n"/>
      <c r="D147" s="6" t="n">
        <v>100</v>
      </c>
      <c r="E147" t="inlineStr">
        <is>
          <t>ft</t>
        </is>
      </c>
      <c r="F147" s="6" t="n">
        <v>1100</v>
      </c>
      <c r="G147" s="7">
        <f>D147*F147</f>
        <v/>
      </c>
      <c r="H147" s="7">
        <f>G147*(1+0.18)</f>
        <v/>
      </c>
    </row>
    <row r="148">
      <c r="A148" t="inlineStr">
        <is>
          <t>P11.05</t>
        </is>
      </c>
      <c r="B148" s="5" t="inlineStr">
        <is>
          <t>Rising mains 4C × 16 sq mm Al armoured to each unit DB</t>
        </is>
      </c>
      <c r="C148" s="5" t="inlineStr">
        <is>
          <t>10 units × ≈ 55 ft</t>
        </is>
      </c>
      <c r="D148" s="6" t="n">
        <v>550</v>
      </c>
      <c r="E148" t="inlineStr">
        <is>
          <t>ft</t>
        </is>
      </c>
      <c r="F148" s="6" t="n">
        <v>230</v>
      </c>
      <c r="G148" s="7">
        <f>D148*F148</f>
        <v/>
      </c>
      <c r="H148" s="7">
        <f>G148*(1+0.18)</f>
        <v/>
      </c>
    </row>
    <row r="149">
      <c r="A149" t="inlineStr">
        <is>
          <t>P11.07</t>
        </is>
      </c>
      <c r="B149" s="5" t="inlineStr">
        <is>
          <t>DG pad and changeover point at the meter panel, per wing (for the owners' generator)</t>
        </is>
      </c>
      <c r="C149" s="5" t="inlineStr">
        <is>
          <t>common provision only</t>
        </is>
      </c>
      <c r="D149" s="6" t="n">
        <v>2</v>
      </c>
      <c r="E149" t="inlineStr">
        <is>
          <t>set</t>
        </is>
      </c>
      <c r="F149" s="6" t="n">
        <v>25000</v>
      </c>
      <c r="G149" s="7">
        <f>D149*F149</f>
        <v/>
      </c>
      <c r="H149" s="7">
        <f>G149*(1+0.18)</f>
        <v/>
      </c>
    </row>
    <row r="150">
      <c r="A150" t="inlineStr">
        <is>
          <t>P11.08</t>
        </is>
      </c>
      <c r="B150" s="5" t="inlineStr">
        <is>
          <t>Common DB per wing (TPN 12-way, MCBs, RCCB)</t>
        </is>
      </c>
      <c r="C150" s="5" t="n"/>
      <c r="D150" s="6" t="n">
        <v>2</v>
      </c>
      <c r="E150" t="inlineStr">
        <is>
          <t>nos</t>
        </is>
      </c>
      <c r="F150" s="6" t="n">
        <v>18000</v>
      </c>
      <c r="G150" s="7">
        <f>D150*F150</f>
        <v/>
      </c>
      <c r="H150" s="7">
        <f>G150*(1+0.18)</f>
        <v/>
      </c>
    </row>
    <row r="151">
      <c r="A151" t="inlineStr">
        <is>
          <t>P11.09</t>
        </is>
      </c>
      <c r="B151" s="5" t="inlineStr">
        <is>
          <t>Lift supply 4C × 10 sq mm Cu + isolator</t>
        </is>
      </c>
      <c r="C151" s="5" t="n"/>
      <c r="D151" s="6" t="n">
        <v>1</v>
      </c>
      <c r="E151" t="inlineStr">
        <is>
          <t>LS</t>
        </is>
      </c>
      <c r="F151" s="6" t="n">
        <v>45000</v>
      </c>
      <c r="G151" s="7">
        <f>D151*F151</f>
        <v/>
      </c>
      <c r="H151" s="7">
        <f>G151*(1+0.18)</f>
        <v/>
      </c>
    </row>
    <row r="152">
      <c r="A152" t="inlineStr">
        <is>
          <t>P11.10</t>
        </is>
      </c>
      <c r="B152" s="5" t="inlineStr">
        <is>
          <t>Pump feeders + starter wiring</t>
        </is>
      </c>
      <c r="C152" s="5" t="n"/>
      <c r="D152" s="6" t="n">
        <v>1</v>
      </c>
      <c r="E152" t="inlineStr">
        <is>
          <t>LS</t>
        </is>
      </c>
      <c r="F152" s="6" t="n">
        <v>60000</v>
      </c>
      <c r="G152" s="7">
        <f>D152*F152</f>
        <v/>
      </c>
      <c r="H152" s="7">
        <f>G152*(1+0.18)</f>
        <v/>
      </c>
    </row>
    <row r="153">
      <c r="A153" t="inlineStr">
        <is>
          <t>P11.11</t>
        </is>
      </c>
      <c r="B153" s="5" t="inlineStr">
        <is>
          <t>Common lighting points: FRLS wire, 25 mm conduit, switches, sensors</t>
        </is>
      </c>
      <c r="C153" s="5" t="inlineStr">
        <is>
          <t>stilt 30, lobbies 21, stair 13, external 12, terrace 6</t>
        </is>
      </c>
      <c r="D153" s="6" t="n">
        <v>82</v>
      </c>
      <c r="E153" t="inlineStr">
        <is>
          <t>pts</t>
        </is>
      </c>
      <c r="F153" s="6" t="n">
        <v>1400</v>
      </c>
      <c r="G153" s="7">
        <f>D153*F153</f>
        <v/>
      </c>
      <c r="H153" s="7">
        <f>G153*(1+0.18)</f>
        <v/>
      </c>
    </row>
    <row r="154">
      <c r="A154" t="inlineStr">
        <is>
          <t>P11.12</t>
        </is>
      </c>
      <c r="B154" s="5" t="inlineStr">
        <is>
          <t>Light fittings for those points</t>
        </is>
      </c>
      <c r="C154" s="5" t="n"/>
      <c r="D154" s="6" t="n">
        <v>82</v>
      </c>
      <c r="E154" t="inlineStr">
        <is>
          <t>nos</t>
        </is>
      </c>
      <c r="F154" s="6" t="n">
        <v>1800</v>
      </c>
      <c r="G154" s="7">
        <f>D154*F154</f>
        <v/>
      </c>
      <c r="H154" s="7">
        <f>G154*(1+0.18)</f>
        <v/>
      </c>
    </row>
    <row r="155">
      <c r="A155" t="inlineStr">
        <is>
          <t>P11.13</t>
        </is>
      </c>
      <c r="B155" s="5" t="inlineStr">
        <is>
          <t>Ceiling points cast in the slabs for the units (box + 25 mm conduit home run)</t>
        </is>
      </c>
      <c r="C155" s="5" t="inlineStr">
        <is>
          <t>10 per unit</t>
        </is>
      </c>
      <c r="D155" s="6" t="n">
        <v>100</v>
      </c>
      <c r="E155" t="inlineStr">
        <is>
          <t>nos</t>
        </is>
      </c>
      <c r="F155" s="6" t="n">
        <v>1400</v>
      </c>
      <c r="G155" s="7">
        <f>D155*F155</f>
        <v/>
      </c>
      <c r="H155" s="7">
        <f>G155*(1+0.18)</f>
        <v/>
      </c>
    </row>
    <row r="156">
      <c r="A156" t="inlineStr">
        <is>
          <t>P11.14</t>
        </is>
      </c>
      <c r="B156" s="5" t="inlineStr">
        <is>
          <t>Riser cable tray + common wiring</t>
        </is>
      </c>
      <c r="C156" s="5" t="n"/>
      <c r="D156" s="6" t="n">
        <v>1</v>
      </c>
      <c r="E156" t="inlineStr">
        <is>
          <t>LS</t>
        </is>
      </c>
      <c r="F156" s="6" t="n">
        <v>120000</v>
      </c>
      <c r="G156" s="7">
        <f>D156*F156</f>
        <v/>
      </c>
      <c r="H156" s="7">
        <f>G156*(1+0.18)</f>
        <v/>
      </c>
    </row>
    <row r="157">
      <c r="A157" t="inlineStr">
        <is>
          <t>P11.15</t>
        </is>
      </c>
      <c r="B157" s="5" t="inlineStr">
        <is>
          <t>Earthing: 8 pits + strips</t>
        </is>
      </c>
      <c r="C157" s="5" t="n"/>
      <c r="D157" s="6" t="n">
        <v>1</v>
      </c>
      <c r="E157" t="inlineStr">
        <is>
          <t>LS</t>
        </is>
      </c>
      <c r="F157" s="6" t="n">
        <v>160000</v>
      </c>
      <c r="G157" s="7">
        <f>D157*F157</f>
        <v/>
      </c>
      <c r="H157" s="7">
        <f>G157*(1+0.18)</f>
        <v/>
      </c>
    </row>
    <row r="158">
      <c r="A158" t="inlineStr">
        <is>
          <t>P11.16</t>
        </is>
      </c>
      <c r="B158" s="5" t="inlineStr">
        <is>
          <t>Lightning arrester on the stair head room</t>
        </is>
      </c>
      <c r="C158" s="5" t="n"/>
      <c r="D158" s="6" t="n">
        <v>1</v>
      </c>
      <c r="E158" t="inlineStr">
        <is>
          <t>nos</t>
        </is>
      </c>
      <c r="F158" s="6" t="n">
        <v>60000</v>
      </c>
      <c r="G158" s="7">
        <f>D158*F158</f>
        <v/>
      </c>
      <c r="H158" s="7">
        <f>G158*(1+0.18)</f>
        <v/>
      </c>
    </row>
    <row r="159">
      <c r="A159" t="inlineStr">
        <is>
          <t>P11.17</t>
        </is>
      </c>
      <c r="B159" s="5" t="inlineStr">
        <is>
          <t>CCTV cameras + NVR + monitor at the security post</t>
        </is>
      </c>
      <c r="C159" s="5" t="n"/>
      <c r="D159" s="6" t="n">
        <v>8</v>
      </c>
      <c r="E159" t="inlineStr">
        <is>
          <t>nos</t>
        </is>
      </c>
      <c r="F159" s="6" t="n">
        <v>30000</v>
      </c>
      <c r="G159" s="7">
        <f>D159*F159</f>
        <v/>
      </c>
      <c r="H159" s="7">
        <f>G159*(1+0.18)</f>
        <v/>
      </c>
    </row>
    <row r="160">
      <c r="A160" t="inlineStr">
        <is>
          <t>P11.18</t>
        </is>
      </c>
      <c r="B160" s="5" t="inlineStr">
        <is>
          <t>Gate access (RFID boom, card reader) + video door phone backbone</t>
        </is>
      </c>
      <c r="C160" s="5" t="n"/>
      <c r="D160" s="6" t="n">
        <v>1</v>
      </c>
      <c r="E160" t="inlineStr">
        <is>
          <t>LS</t>
        </is>
      </c>
      <c r="F160" s="6" t="n">
        <v>350000</v>
      </c>
      <c r="G160" s="7">
        <f>D160*F160</f>
        <v/>
      </c>
      <c r="H160" s="7">
        <f>G160*(1+0.18)</f>
        <v/>
      </c>
    </row>
    <row r="161">
      <c r="A161" t="inlineStr">
        <is>
          <t>P11.19</t>
        </is>
      </c>
      <c r="B161" s="5" t="inlineStr">
        <is>
          <t>Fire: extinguishers 24, sand buckets, call points + hooters, emergency lights, signage — PROVISIONAL</t>
        </is>
      </c>
      <c r="C161" s="5" t="inlineStr">
        <is>
          <t>fire department to confirm for hostel / office</t>
        </is>
      </c>
      <c r="D161" s="6" t="n">
        <v>1</v>
      </c>
      <c r="E161" t="inlineStr">
        <is>
          <t>LS</t>
        </is>
      </c>
      <c r="F161" s="6" t="n">
        <v>450000</v>
      </c>
      <c r="G161" s="7">
        <f>D161*F161</f>
        <v/>
      </c>
      <c r="H161" s="7">
        <f>G161*(1+0.18)</f>
        <v/>
      </c>
    </row>
    <row r="162">
      <c r="A162" t="inlineStr">
        <is>
          <t>P11.21</t>
        </is>
      </c>
      <c r="B162" s="5" t="inlineStr">
        <is>
          <t>Cellar mechanical ventilation: exhaust + fresh-air fans, ducts / jet fans, CO sensors</t>
        </is>
      </c>
      <c r="C162" s="5" t="inlineStr">
        <is>
          <t>Rs 6 L incl. GST (cellar report); needed for a closed cellar</t>
        </is>
      </c>
      <c r="D162" s="6" t="n">
        <v>1</v>
      </c>
      <c r="E162" t="inlineStr">
        <is>
          <t>LS</t>
        </is>
      </c>
      <c r="F162" s="6" t="n">
        <v>510000</v>
      </c>
      <c r="G162" s="7">
        <f>D162*F162</f>
        <v/>
      </c>
      <c r="H162" s="7">
        <f>G162*(1+0.18)</f>
        <v/>
      </c>
    </row>
    <row r="163">
      <c r="A163" t="inlineStr">
        <is>
          <t>P11.22</t>
        </is>
      </c>
      <c r="B163" s="5" t="inlineStr">
        <is>
          <t>Cellar lighting (LED battens on sensors), DB, wiring</t>
        </is>
      </c>
      <c r="C163" s="5" t="n"/>
      <c r="D163" s="6" t="n">
        <v>1</v>
      </c>
      <c r="E163" t="inlineStr">
        <is>
          <t>LS</t>
        </is>
      </c>
      <c r="F163" s="6" t="n">
        <v>130000</v>
      </c>
      <c r="G163" s="7">
        <f>D163*F163</f>
        <v/>
      </c>
      <c r="H163" s="7">
        <f>G163*(1+0.18)</f>
        <v/>
      </c>
    </row>
    <row r="164">
      <c r="A164" t="inlineStr">
        <is>
          <t>P11.23</t>
        </is>
      </c>
      <c r="B164" s="5" t="inlineStr">
        <is>
          <t>Cellar fire: detection, extinguishers, signage — PROVISIONAL (sprinklers if the fire department asks: extra)</t>
        </is>
      </c>
      <c r="C164" s="5" t="inlineStr">
        <is>
          <t>Rs 3 L incl. GST</t>
        </is>
      </c>
      <c r="D164" s="6" t="n">
        <v>1</v>
      </c>
      <c r="E164" t="inlineStr">
        <is>
          <t>LS</t>
        </is>
      </c>
      <c r="F164" s="6" t="n">
        <v>255000</v>
      </c>
      <c r="G164" s="7">
        <f>D164*F164</f>
        <v/>
      </c>
      <c r="H164" s="7">
        <f>G164*(1+0.18)</f>
        <v/>
      </c>
    </row>
    <row r="165">
      <c r="A165" t="inlineStr">
        <is>
          <t>P11.20</t>
        </is>
      </c>
      <c r="B165" s="5" t="inlineStr">
        <is>
          <t>Electrical labour for common works</t>
        </is>
      </c>
      <c r="C165" s="5" t="inlineStr">
        <is>
          <t>PMC allowance</t>
        </is>
      </c>
      <c r="D165" s="6" t="n">
        <v>1</v>
      </c>
      <c r="E165" t="inlineStr">
        <is>
          <t>LS</t>
        </is>
      </c>
      <c r="F165" s="6" t="n">
        <v>250000</v>
      </c>
      <c r="G165" s="7">
        <f>D165*F165</f>
        <v/>
      </c>
      <c r="H165" s="7">
        <f>G165*(1+0.0)</f>
        <v/>
      </c>
    </row>
    <row r="166">
      <c r="B166" s="8" t="inlineStr">
        <is>
          <t>Sub-total · Electrical, security, fire</t>
        </is>
      </c>
      <c r="G166" s="9">
        <f>SUM(G144:G165)</f>
        <v/>
      </c>
      <c r="H166" s="9">
        <f>SUM(H144:H165)</f>
        <v/>
      </c>
    </row>
    <row r="168">
      <c r="A168" s="3" t="inlineStr">
        <is>
          <t>Site works</t>
        </is>
      </c>
      <c r="B168" s="4" t="n"/>
      <c r="C168" s="4" t="n"/>
      <c r="D168" s="4" t="n"/>
      <c r="E168" s="4" t="n"/>
      <c r="F168" s="4" t="n"/>
      <c r="G168" s="4" t="n"/>
      <c r="H168" s="4" t="n"/>
    </row>
    <row r="169">
      <c r="A169" t="inlineStr">
        <is>
          <t>P12.01</t>
        </is>
      </c>
      <c r="B169" s="5" t="inlineStr">
        <is>
          <t>Compound wall 5′ (RCC frame + block, plastered, painted) on the N, S and E sides</t>
        </is>
      </c>
      <c r="C169" s="5" t="inlineStr">
        <is>
          <t>SW-01: S 46 + N 56.5 + E 115 (was 320)</t>
        </is>
      </c>
      <c r="D169" s="6" t="n">
        <v>218</v>
      </c>
      <c r="E169" t="inlineStr">
        <is>
          <t>rft</t>
        </is>
      </c>
      <c r="F169" s="6" t="n">
        <v>2800</v>
      </c>
      <c r="G169" s="7">
        <f>D169*F169</f>
        <v/>
      </c>
      <c r="H169" s="7">
        <f>G169*(1+0.18)</f>
        <v/>
      </c>
    </row>
    <row r="170">
      <c r="A170" t="inlineStr">
        <is>
          <t>P12.02</t>
        </is>
      </c>
      <c r="B170" s="5" t="inlineStr">
        <is>
          <t>West retaining wall in RCC (road higher than the site)</t>
        </is>
      </c>
      <c r="C170" s="5" t="inlineStr">
        <is>
          <t>SW-01: whole west boundary less the wicket (was 67); level survey to confirm</t>
        </is>
      </c>
      <c r="D170" s="6" t="n">
        <v>109</v>
      </c>
      <c r="E170" t="inlineStr">
        <is>
          <t>rft</t>
        </is>
      </c>
      <c r="F170" s="6" t="n">
        <v>9500</v>
      </c>
      <c r="G170" s="7">
        <f>D170*F170</f>
        <v/>
      </c>
      <c r="H170" s="7">
        <f>G170*(1+0.18)</f>
        <v/>
      </c>
    </row>
    <row r="171">
      <c r="A171" t="inlineStr">
        <is>
          <t>P12.03</t>
        </is>
      </c>
      <c r="B171" s="5" t="inlineStr">
        <is>
          <t>Gates: north 15′, south-west 12′, 2 wickets (MS, painted, automation-ready)</t>
        </is>
      </c>
      <c r="C171" s="5" t="n"/>
      <c r="D171" s="6" t="n">
        <v>1</v>
      </c>
      <c r="E171" t="inlineStr">
        <is>
          <t>LS</t>
        </is>
      </c>
      <c r="F171" s="6" t="n">
        <v>480000</v>
      </c>
      <c r="G171" s="7">
        <f>D171*F171</f>
        <v/>
      </c>
      <c r="H171" s="7">
        <f>G171*(1+0.18)</f>
        <v/>
      </c>
    </row>
    <row r="172">
      <c r="A172" t="inlineStr">
        <is>
          <t>P12.04</t>
        </is>
      </c>
      <c r="B172" s="5" t="inlineStr">
        <is>
          <t>Driveways and setbacks: VDF / pavers</t>
        </is>
      </c>
      <c r="C172" s="5" t="inlineStr">
        <is>
          <t>site ≈ 7,700 sft less footprint</t>
        </is>
      </c>
      <c r="D172" s="6" t="n">
        <v>2000</v>
      </c>
      <c r="E172" t="inlineStr">
        <is>
          <t>sft</t>
        </is>
      </c>
      <c r="F172" s="6" t="n">
        <v>192.5</v>
      </c>
      <c r="G172" s="7">
        <f>D172*F172</f>
        <v/>
      </c>
      <c r="H172" s="7">
        <f>G172*(1+0.18)</f>
        <v/>
      </c>
    </row>
    <row r="173">
      <c r="A173" t="inlineStr">
        <is>
          <t>P12.05</t>
        </is>
      </c>
      <c r="B173" s="5" t="inlineStr">
        <is>
          <t>Watchman rooms 2 (8′ × 10′ + toilet)</t>
        </is>
      </c>
      <c r="C173" s="5" t="inlineStr">
        <is>
          <t>client: 2 watchman rooms</t>
        </is>
      </c>
      <c r="D173" s="6" t="n">
        <v>1</v>
      </c>
      <c r="E173" t="inlineStr">
        <is>
          <t>nos</t>
        </is>
      </c>
      <c r="F173" s="6" t="n">
        <v>700000</v>
      </c>
      <c r="G173" s="7">
        <f>D173*F173</f>
        <v/>
      </c>
      <c r="H173" s="7">
        <f>G173*(1+0.18)</f>
        <v/>
      </c>
    </row>
    <row r="174">
      <c r="A174" t="inlineStr">
        <is>
          <t>P12.06</t>
        </is>
      </c>
      <c r="B174" s="5" t="inlineStr">
        <is>
          <t>Landscape strip, planters, external drains</t>
        </is>
      </c>
      <c r="C174" s="5" t="n"/>
      <c r="D174" s="6" t="n">
        <v>1</v>
      </c>
      <c r="E174" t="inlineStr">
        <is>
          <t>LS</t>
        </is>
      </c>
      <c r="F174" s="6" t="n">
        <v>150000</v>
      </c>
      <c r="G174" s="7">
        <f>D174*F174</f>
        <v/>
      </c>
      <c r="H174" s="7">
        <f>G174*(1+0.18)</f>
        <v/>
      </c>
    </row>
    <row r="175">
      <c r="B175" s="8" t="inlineStr">
        <is>
          <t>Sub-total · Site works</t>
        </is>
      </c>
      <c r="G175" s="9">
        <f>SUM(G169:G174)</f>
        <v/>
      </c>
      <c r="H175" s="9">
        <f>SUM(H169:H174)</f>
        <v/>
      </c>
    </row>
    <row r="177">
      <c r="A177" s="3" t="inlineStr">
        <is>
          <t>Approvals, fees, consultants</t>
        </is>
      </c>
      <c r="B177" s="4" t="n"/>
      <c r="C177" s="4" t="n"/>
      <c r="D177" s="4" t="n"/>
      <c r="E177" s="4" t="n"/>
      <c r="F177" s="4" t="n"/>
      <c r="G177" s="4" t="n"/>
      <c r="H177" s="4" t="n"/>
    </row>
    <row r="178">
      <c r="A178" t="inlineStr">
        <is>
          <t>P13.01</t>
        </is>
      </c>
      <c r="B178" s="5" t="inlineStr">
        <is>
          <t>GHMC building permit and charges incl. the cellar area — PROVISIONAL</t>
        </is>
      </c>
      <c r="C178" s="5" t="inlineStr">
        <is>
          <t>77:76 basis ₹6 L + CLIF</t>
        </is>
      </c>
      <c r="D178" s="6" t="n">
        <v>1</v>
      </c>
      <c r="E178" t="inlineStr">
        <is>
          <t>LS</t>
        </is>
      </c>
      <c r="F178" s="6" t="n">
        <v>900000</v>
      </c>
      <c r="G178" s="7">
        <f>D178*F178</f>
        <v/>
      </c>
      <c r="H178" s="7">
        <f>G178*(1+0.0)</f>
        <v/>
      </c>
    </row>
    <row r="179">
      <c r="A179" t="inlineStr">
        <is>
          <t>P13.02</t>
        </is>
      </c>
      <c r="B179" s="5" t="inlineStr">
        <is>
          <t>Labour cess 1% of construction cost</t>
        </is>
      </c>
      <c r="C179" s="5" t="inlineStr">
        <is>
          <t>1% of P1–P12</t>
        </is>
      </c>
      <c r="D179" s="6" t="n">
        <v>402399.99</v>
      </c>
      <c r="E179" t="inlineStr">
        <is>
          <t>LS</t>
        </is>
      </c>
      <c r="F179" s="6" t="n">
        <v>1.16</v>
      </c>
      <c r="G179" s="7">
        <f>D179*F179</f>
        <v/>
      </c>
      <c r="H179" s="7">
        <f>G179*(1+0.0)</f>
        <v/>
      </c>
    </row>
    <row r="180">
      <c r="A180" t="inlineStr">
        <is>
          <t>P13.03</t>
        </is>
      </c>
      <c r="B180" s="5" t="inlineStr">
        <is>
          <t>HMWSSB water + sewer connection</t>
        </is>
      </c>
      <c r="C180" s="5" t="n"/>
      <c r="D180" s="6" t="n">
        <v>1</v>
      </c>
      <c r="E180" t="inlineStr">
        <is>
          <t>LS</t>
        </is>
      </c>
      <c r="F180" s="6" t="n">
        <v>300000</v>
      </c>
      <c r="G180" s="7">
        <f>D180*F180</f>
        <v/>
      </c>
      <c r="H180" s="7">
        <f>G180*(1+0.0)</f>
        <v/>
      </c>
    </row>
    <row r="181">
      <c r="A181" t="inlineStr">
        <is>
          <t>P13.04</t>
        </is>
      </c>
      <c r="B181" s="5" t="inlineStr">
        <is>
          <t>TSSPDCL connection and development charges</t>
        </is>
      </c>
      <c r="C181" s="5" t="n"/>
      <c r="D181" s="6" t="n">
        <v>1</v>
      </c>
      <c r="E181" t="inlineStr">
        <is>
          <t>LS</t>
        </is>
      </c>
      <c r="F181" s="6" t="n">
        <v>400000</v>
      </c>
      <c r="G181" s="7">
        <f>D181*F181</f>
        <v/>
      </c>
      <c r="H181" s="7">
        <f>G181*(1+0.0)</f>
        <v/>
      </c>
    </row>
    <row r="182">
      <c r="A182" t="inlineStr">
        <is>
          <t>P13.05</t>
        </is>
      </c>
      <c r="B182" s="5" t="inlineStr">
        <is>
          <t>Fire NOC / consultant (if needed for hostel / office use)</t>
        </is>
      </c>
      <c r="C182" s="5" t="n"/>
      <c r="D182" s="6" t="n">
        <v>1</v>
      </c>
      <c r="E182" t="inlineStr">
        <is>
          <t>LS</t>
        </is>
      </c>
      <c r="F182" s="6" t="n">
        <v>150000</v>
      </c>
      <c r="G182" s="7">
        <f>D182*F182</f>
        <v/>
      </c>
      <c r="H182" s="7">
        <f>G182*(1+0.18)</f>
        <v/>
      </c>
    </row>
    <row r="183">
      <c r="A183" t="inlineStr">
        <is>
          <t>P13.06</t>
        </is>
      </c>
      <c r="B183" s="5" t="inlineStr">
        <is>
          <t>Structural engineer (design, BBS, site visits)</t>
        </is>
      </c>
      <c r="C183" s="5" t="n"/>
      <c r="D183" s="6" t="n">
        <v>1</v>
      </c>
      <c r="E183" t="inlineStr">
        <is>
          <t>LS</t>
        </is>
      </c>
      <c r="F183" s="6" t="n">
        <v>250000</v>
      </c>
      <c r="G183" s="7">
        <f>D183*F183</f>
        <v/>
      </c>
      <c r="H183" s="7">
        <f>G183*(1+0.18)</f>
        <v/>
      </c>
    </row>
    <row r="184">
      <c r="A184" t="inlineStr">
        <is>
          <t>P13.07</t>
        </is>
      </c>
      <c r="B184" s="5" t="inlineStr">
        <is>
          <t>Architect: approval and working drawings</t>
        </is>
      </c>
      <c r="C184" s="5" t="n"/>
      <c r="D184" s="6" t="n">
        <v>1</v>
      </c>
      <c r="E184" t="inlineStr">
        <is>
          <t>LS</t>
        </is>
      </c>
      <c r="F184" s="6" t="n">
        <v>400000</v>
      </c>
      <c r="G184" s="7">
        <f>D184*F184</f>
        <v/>
      </c>
      <c r="H184" s="7">
        <f>G184*(1+0.18)</f>
        <v/>
      </c>
    </row>
    <row r="185">
      <c r="A185" t="inlineStr">
        <is>
          <t>P13.08</t>
        </is>
      </c>
      <c r="B185" s="5" t="inlineStr">
        <is>
          <t>OC, misc. fees, as-built drawings</t>
        </is>
      </c>
      <c r="C185" s="5" t="n"/>
      <c r="D185" s="6" t="n">
        <v>1</v>
      </c>
      <c r="E185" t="inlineStr">
        <is>
          <t>LS</t>
        </is>
      </c>
      <c r="F185" s="6" t="n">
        <v>150000</v>
      </c>
      <c r="G185" s="7">
        <f>D185*F185</f>
        <v/>
      </c>
      <c r="H185" s="7">
        <f>G185*(1+0.0)</f>
        <v/>
      </c>
    </row>
    <row r="186">
      <c r="B186" s="8" t="inlineStr">
        <is>
          <t>Sub-total · Approvals, fees, consultants</t>
        </is>
      </c>
      <c r="G186" s="9">
        <f>SUM(G178:G185)</f>
        <v/>
      </c>
      <c r="H186" s="9">
        <f>SUM(H178:H185)</f>
        <v/>
      </c>
    </row>
    <row r="188">
      <c r="B188" s="8" t="inlineStr">
        <is>
          <t>Total of all items, before contingency</t>
        </is>
      </c>
      <c r="G188" s="9">
        <f>G13+G22+G33+G38+G53+G69+G86+G105+G110+G141+G166+G175+G186</f>
        <v/>
      </c>
      <c r="H188" s="9">
        <f>H13+H22+H33+H38+H53+H69+H86+H105+H110+H141+H166+H175+H186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2026-10-19T08:38:17Z</dcterms:created>
  <dcterms:modified xmlns:dcterms="http://purl.org/dc/terms/" xmlns:xsi="http://www.w3.org/2001/XMLSchema-instance" xsi:type="dcterms:W3CDTF">2026-10-19T08:38:17Z</dcterms:modified>
</cp:coreProperties>
</file>